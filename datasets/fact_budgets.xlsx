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l\GitHub\newbridge-saas-operating-system\datasets\"/>
    </mc:Choice>
  </mc:AlternateContent>
  <xr:revisionPtr revIDLastSave="0" documentId="8_{D583B4A2-A018-4248-AD4B-6F7254F446E1}" xr6:coauthVersionLast="47" xr6:coauthVersionMax="47" xr10:uidLastSave="{00000000-0000-0000-0000-000000000000}"/>
  <bookViews>
    <workbookView xWindow="390" yWindow="0" windowWidth="20370" windowHeight="15480" activeTab="1" xr2:uid="{4CA08521-FBFF-4161-BE57-0736EEA5FEC5}"/>
  </bookViews>
  <sheets>
    <sheet name="Snapshots" sheetId="1" r:id="rId1"/>
    <sheet name="budgets breakout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8" i="1"/>
  <c r="F9" i="1"/>
  <c r="F11" i="1"/>
  <c r="F12" i="1"/>
  <c r="F13" i="1"/>
  <c r="F15" i="1"/>
  <c r="F16" i="1"/>
  <c r="F17" i="1"/>
  <c r="E18" i="1"/>
  <c r="D18" i="1"/>
  <c r="E14" i="1"/>
  <c r="D14" i="1"/>
  <c r="E10" i="1"/>
  <c r="D10" i="1"/>
  <c r="E6" i="1"/>
  <c r="D6" i="1"/>
  <c r="F14" i="1" l="1"/>
  <c r="E19" i="1"/>
  <c r="F10" i="1"/>
  <c r="F18" i="1"/>
  <c r="F6" i="1"/>
  <c r="D19" i="1"/>
  <c r="F19" i="1" s="1"/>
</calcChain>
</file>

<file path=xl/sharedStrings.xml><?xml version="1.0" encoding="utf-8"?>
<sst xmlns="http://schemas.openxmlformats.org/spreadsheetml/2006/main" count="599" uniqueCount="48">
  <si>
    <t>fiscal_month</t>
  </si>
  <si>
    <t>quarter</t>
  </si>
  <si>
    <t>actual</t>
  </si>
  <si>
    <t>budget</t>
  </si>
  <si>
    <t>attainment</t>
  </si>
  <si>
    <t>Jul</t>
  </si>
  <si>
    <t>Q1</t>
  </si>
  <si>
    <t>Aug</t>
  </si>
  <si>
    <t>Sep</t>
  </si>
  <si>
    <t>Q1 Total</t>
  </si>
  <si>
    <t>Oct</t>
  </si>
  <si>
    <t>Q2</t>
  </si>
  <si>
    <t>Nov</t>
  </si>
  <si>
    <t>Dec</t>
  </si>
  <si>
    <t>Q2 Total</t>
  </si>
  <si>
    <t>Jan</t>
  </si>
  <si>
    <t>Q3</t>
  </si>
  <si>
    <t>Feb</t>
  </si>
  <si>
    <t>Mar</t>
  </si>
  <si>
    <t>Q3 Total</t>
  </si>
  <si>
    <t>Apr</t>
  </si>
  <si>
    <t>Q4</t>
  </si>
  <si>
    <t>May</t>
  </si>
  <si>
    <t>Jun</t>
  </si>
  <si>
    <t>Q4 Total</t>
  </si>
  <si>
    <t>Grand Total</t>
  </si>
  <si>
    <t>ALL</t>
  </si>
  <si>
    <t>SR001_NA_West</t>
  </si>
  <si>
    <t>SR002_NA_East</t>
  </si>
  <si>
    <t>SR003_DACH</t>
  </si>
  <si>
    <t>SR004_UKI</t>
  </si>
  <si>
    <t>SR005_India</t>
  </si>
  <si>
    <t>SR006_ANZ</t>
  </si>
  <si>
    <t>SR007_Brazil</t>
  </si>
  <si>
    <t>SR008_Mexico</t>
  </si>
  <si>
    <t>SR009_MiddleEast</t>
  </si>
  <si>
    <t>SR010_Africa</t>
  </si>
  <si>
    <t>fiscal_quarter</t>
  </si>
  <si>
    <t>subregion_id</t>
  </si>
  <si>
    <t>actuals</t>
  </si>
  <si>
    <t>budgets</t>
  </si>
  <si>
    <t>att%</t>
  </si>
  <si>
    <t>segment</t>
  </si>
  <si>
    <t>Strategic</t>
  </si>
  <si>
    <t>Enterprise</t>
  </si>
  <si>
    <t>MidMarket</t>
  </si>
  <si>
    <t>SMB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</si>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</sst>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" x14ac:knownFonts="1"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165" fontId="0" fillId="0" borderId="0" xfId="2" applyNumberFormat="1" applyFont="1"/>
    <xf numFmtId="165" fontId="0" fillId="0" borderId="0" xfId="0" applyNumberFormat="1"/>
    <xf numFmtId="165" fontId="2" fillId="2" borderId="0" xfId="0" applyNumberFormat="1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6">
    <dxf>
      <numFmt numFmtId="165" formatCode="0.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l Jacob" refreshedDate="46121.734984374998" createdVersion="8" refreshedVersion="8" minRefreshableVersion="3" recordCount="160" xr:uid="{10A710A3-8639-4C6F-9AB8-47CF801E30CC}">
  <cacheSource type="worksheet">
    <worksheetSource name="budgets"/>
  </cacheSource>
  <cacheFields count="7">
    <cacheField name="fiscal_quarter" numFmtId="0">
      <sharedItems count="4">
        <s v="Q1"/>
        <s v="Q2"/>
        <s v="Q3"/>
        <s v="Q4"/>
      </sharedItems>
    </cacheField>
    <cacheField name="subregion_id" numFmtId="0">
      <sharedItems count="10">
        <s v="SR001_NA_West"/>
        <s v="SR002_NA_East"/>
        <s v="SR003_DACH"/>
        <s v="SR004_UKI"/>
        <s v="SR005_India"/>
        <s v="SR006_ANZ"/>
        <s v="SR007_Brazil"/>
        <s v="SR008_Mexico"/>
        <s v="SR009_MiddleEast"/>
        <s v="SR010_Africa"/>
      </sharedItems>
    </cacheField>
    <cacheField name="segment" numFmtId="0">
      <sharedItems count="4">
        <s v="Strategic"/>
        <s v="Enterprise"/>
        <s v="MidMarket"/>
        <s v="SMB"/>
      </sharedItems>
    </cacheField>
    <cacheField name="actuals" numFmtId="164">
      <sharedItems containsSemiMixedTypes="0" containsString="0" containsNumber="1" containsInteger="1" minValue="18700" maxValue="6220668"/>
    </cacheField>
    <cacheField name="budgets" numFmtId="164">
      <sharedItems containsSemiMixedTypes="0" containsString="0" containsNumber="1" containsInteger="1" minValue="17562" maxValue="6548600"/>
    </cacheField>
    <cacheField name="attainment" numFmtId="165">
      <sharedItems containsSemiMixedTypes="0" containsString="0" containsNumber="1" minValue="0.81899999999999995" maxValue="1.099"/>
    </cacheField>
    <cacheField name="att%" numFmtId="0" formula="actuals/budge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x v="0"/>
    <x v="0"/>
    <n v="2361715"/>
    <n v="2591115"/>
    <n v="0.91100000000000003"/>
  </r>
  <r>
    <x v="0"/>
    <x v="0"/>
    <x v="1"/>
    <n v="3314061"/>
    <n v="3533060"/>
    <n v="0.93799999999999994"/>
  </r>
  <r>
    <x v="0"/>
    <x v="0"/>
    <x v="2"/>
    <n v="1033172"/>
    <n v="1069365"/>
    <n v="0.96599999999999997"/>
  </r>
  <r>
    <x v="0"/>
    <x v="0"/>
    <x v="3"/>
    <n v="267139"/>
    <n v="265437"/>
    <n v="1.006"/>
  </r>
  <r>
    <x v="0"/>
    <x v="1"/>
    <x v="0"/>
    <n v="2273804"/>
    <n v="2388276"/>
    <n v="0.95199999999999996"/>
  </r>
  <r>
    <x v="0"/>
    <x v="1"/>
    <x v="1"/>
    <n v="2687670"/>
    <n v="2743082"/>
    <n v="0.98"/>
  </r>
  <r>
    <x v="0"/>
    <x v="1"/>
    <x v="2"/>
    <n v="856073"/>
    <n v="848274"/>
    <n v="1.0089999999999999"/>
  </r>
  <r>
    <x v="0"/>
    <x v="1"/>
    <x v="3"/>
    <n v="215138"/>
    <n v="204651"/>
    <n v="1.0509999999999999"/>
  </r>
  <r>
    <x v="0"/>
    <x v="2"/>
    <x v="0"/>
    <n v="1193615"/>
    <n v="1316015"/>
    <n v="0.90700000000000003"/>
  </r>
  <r>
    <x v="0"/>
    <x v="2"/>
    <x v="1"/>
    <n v="1860626"/>
    <n v="1993365"/>
    <n v="0.93300000000000005"/>
  </r>
  <r>
    <x v="0"/>
    <x v="2"/>
    <x v="2"/>
    <n v="781205"/>
    <n v="812560"/>
    <n v="0.96099999999999997"/>
  </r>
  <r>
    <x v="0"/>
    <x v="2"/>
    <x v="3"/>
    <n v="297091"/>
    <n v="296655"/>
    <n v="1.0009999999999999"/>
  </r>
  <r>
    <x v="0"/>
    <x v="3"/>
    <x v="0"/>
    <n v="985817"/>
    <n v="1061816"/>
    <n v="0.92800000000000005"/>
  </r>
  <r>
    <x v="0"/>
    <x v="3"/>
    <x v="1"/>
    <n v="1240958"/>
    <n v="1298796"/>
    <n v="0.95499999999999996"/>
  </r>
  <r>
    <x v="0"/>
    <x v="3"/>
    <x v="2"/>
    <n v="528811"/>
    <n v="537338"/>
    <n v="0.98399999999999999"/>
  </r>
  <r>
    <x v="0"/>
    <x v="3"/>
    <x v="3"/>
    <n v="191614"/>
    <n v="186916"/>
    <n v="1.0249999999999999"/>
  </r>
  <r>
    <x v="0"/>
    <x v="4"/>
    <x v="0"/>
    <n v="754151"/>
    <n v="845779"/>
    <n v="0.89200000000000002"/>
  </r>
  <r>
    <x v="0"/>
    <x v="4"/>
    <x v="1"/>
    <n v="1247323"/>
    <n v="1359281"/>
    <n v="0.91800000000000004"/>
  </r>
  <r>
    <x v="0"/>
    <x v="4"/>
    <x v="2"/>
    <n v="889559"/>
    <n v="941169"/>
    <n v="0.94499999999999995"/>
  </r>
  <r>
    <x v="0"/>
    <x v="4"/>
    <x v="3"/>
    <n v="329680"/>
    <n v="334855"/>
    <n v="0.98499999999999999"/>
  </r>
  <r>
    <x v="0"/>
    <x v="5"/>
    <x v="0"/>
    <n v="393880"/>
    <n v="427820"/>
    <n v="0.92100000000000004"/>
  </r>
  <r>
    <x v="0"/>
    <x v="5"/>
    <x v="1"/>
    <n v="676340"/>
    <n v="713828"/>
    <n v="0.94699999999999995"/>
  </r>
  <r>
    <x v="0"/>
    <x v="5"/>
    <x v="2"/>
    <n v="477955"/>
    <n v="489755"/>
    <n v="0.97599999999999998"/>
  </r>
  <r>
    <x v="0"/>
    <x v="5"/>
    <x v="3"/>
    <n v="173158"/>
    <n v="170336"/>
    <n v="1.0169999999999999"/>
  </r>
  <r>
    <x v="0"/>
    <x v="6"/>
    <x v="0"/>
    <n v="88440"/>
    <n v="93153"/>
    <n v="0.94899999999999995"/>
  </r>
  <r>
    <x v="0"/>
    <x v="6"/>
    <x v="1"/>
    <n v="260284"/>
    <n v="266395"/>
    <n v="0.97699999999999998"/>
  </r>
  <r>
    <x v="0"/>
    <x v="6"/>
    <x v="2"/>
    <n v="253066"/>
    <n v="251464"/>
    <n v="1.006"/>
  </r>
  <r>
    <x v="0"/>
    <x v="6"/>
    <x v="3"/>
    <n v="129967"/>
    <n v="123979"/>
    <n v="1.048"/>
  </r>
  <r>
    <x v="0"/>
    <x v="7"/>
    <x v="0"/>
    <n v="38040"/>
    <n v="39661"/>
    <n v="0.95899999999999996"/>
  </r>
  <r>
    <x v="0"/>
    <x v="7"/>
    <x v="1"/>
    <n v="113199"/>
    <n v="114683"/>
    <n v="0.98699999999999999"/>
  </r>
  <r>
    <x v="0"/>
    <x v="7"/>
    <x v="2"/>
    <n v="102868"/>
    <n v="101181"/>
    <n v="1.0169999999999999"/>
  </r>
  <r>
    <x v="0"/>
    <x v="7"/>
    <x v="3"/>
    <n v="56816"/>
    <n v="53649"/>
    <n v="1.0589999999999999"/>
  </r>
  <r>
    <x v="0"/>
    <x v="8"/>
    <x v="0"/>
    <n v="68419"/>
    <n v="71640"/>
    <n v="0.95499999999999996"/>
  </r>
  <r>
    <x v="0"/>
    <x v="8"/>
    <x v="1"/>
    <n v="159626"/>
    <n v="162409"/>
    <n v="0.98299999999999998"/>
  </r>
  <r>
    <x v="0"/>
    <x v="8"/>
    <x v="2"/>
    <n v="112172"/>
    <n v="110804"/>
    <n v="1.012"/>
  </r>
  <r>
    <x v="0"/>
    <x v="8"/>
    <x v="3"/>
    <n v="55797"/>
    <n v="52912"/>
    <n v="1.0549999999999999"/>
  </r>
  <r>
    <x v="0"/>
    <x v="9"/>
    <x v="0"/>
    <n v="22359"/>
    <n v="23186"/>
    <n v="0.96399999999999997"/>
  </r>
  <r>
    <x v="0"/>
    <x v="9"/>
    <x v="1"/>
    <n v="51078"/>
    <n v="51468"/>
    <n v="0.99199999999999999"/>
  </r>
  <r>
    <x v="0"/>
    <x v="9"/>
    <x v="2"/>
    <n v="37116"/>
    <n v="36310"/>
    <n v="1.022"/>
  </r>
  <r>
    <x v="0"/>
    <x v="9"/>
    <x v="3"/>
    <n v="18700"/>
    <n v="17562"/>
    <n v="1.0649999999999999"/>
  </r>
  <r>
    <x v="1"/>
    <x v="0"/>
    <x v="0"/>
    <n v="2819352"/>
    <n v="2869408"/>
    <n v="0.98299999999999998"/>
  </r>
  <r>
    <x v="1"/>
    <x v="0"/>
    <x v="1"/>
    <n v="3921937"/>
    <n v="3952048"/>
    <n v="0.99199999999999999"/>
  </r>
  <r>
    <x v="1"/>
    <x v="0"/>
    <x v="2"/>
    <n v="1272207"/>
    <n v="1269155"/>
    <n v="1.002"/>
  </r>
  <r>
    <x v="1"/>
    <x v="0"/>
    <x v="3"/>
    <n v="354966"/>
    <n v="350537"/>
    <n v="1.0129999999999999"/>
  </r>
  <r>
    <x v="1"/>
    <x v="1"/>
    <x v="0"/>
    <n v="2650555"/>
    <n v="2643047"/>
    <n v="1.0029999999999999"/>
  </r>
  <r>
    <x v="1"/>
    <x v="1"/>
    <x v="1"/>
    <n v="3195480"/>
    <n v="3154880"/>
    <n v="1.0129999999999999"/>
  </r>
  <r>
    <x v="1"/>
    <x v="1"/>
    <x v="2"/>
    <n v="1055619"/>
    <n v="1031785"/>
    <n v="1.0229999999999999"/>
  </r>
  <r>
    <x v="1"/>
    <x v="1"/>
    <x v="3"/>
    <n v="281915"/>
    <n v="272766"/>
    <n v="1.034"/>
  </r>
  <r>
    <x v="1"/>
    <x v="2"/>
    <x v="0"/>
    <n v="1439139"/>
    <n v="1467092"/>
    <n v="0.98099999999999998"/>
  </r>
  <r>
    <x v="1"/>
    <x v="2"/>
    <x v="1"/>
    <n v="2211572"/>
    <n v="2232205"/>
    <n v="0.99099999999999999"/>
  </r>
  <r>
    <x v="1"/>
    <x v="2"/>
    <x v="2"/>
    <n v="958947"/>
    <n v="958215"/>
    <n v="1.0009999999999999"/>
  </r>
  <r>
    <x v="1"/>
    <x v="2"/>
    <x v="3"/>
    <n v="399939"/>
    <n v="395597"/>
    <n v="1.0109999999999999"/>
  </r>
  <r>
    <x v="1"/>
    <x v="3"/>
    <x v="0"/>
    <n v="1168034"/>
    <n v="1166324"/>
    <n v="1.0009999999999999"/>
  </r>
  <r>
    <x v="1"/>
    <x v="3"/>
    <x v="1"/>
    <n v="1456648"/>
    <n v="1440115"/>
    <n v="1.0109999999999999"/>
  </r>
  <r>
    <x v="1"/>
    <x v="3"/>
    <x v="2"/>
    <n v="643625"/>
    <n v="629956"/>
    <n v="1.022"/>
  </r>
  <r>
    <x v="1"/>
    <x v="3"/>
    <x v="3"/>
    <n v="251189"/>
    <n v="243371"/>
    <n v="1.032"/>
  </r>
  <r>
    <x v="1"/>
    <x v="4"/>
    <x v="0"/>
    <n v="884321"/>
    <n v="903492"/>
    <n v="0.97899999999999998"/>
  </r>
  <r>
    <x v="1"/>
    <x v="4"/>
    <x v="1"/>
    <n v="1478338"/>
    <n v="1495431"/>
    <n v="0.98899999999999999"/>
  </r>
  <r>
    <x v="1"/>
    <x v="4"/>
    <x v="2"/>
    <n v="1096964"/>
    <n v="1098551"/>
    <n v="0.999"/>
  </r>
  <r>
    <x v="1"/>
    <x v="4"/>
    <x v="3"/>
    <n v="449583"/>
    <n v="445686"/>
    <n v="1.0089999999999999"/>
  </r>
  <r>
    <x v="1"/>
    <x v="5"/>
    <x v="0"/>
    <n v="458823"/>
    <n v="464039"/>
    <n v="0.98899999999999999"/>
  </r>
  <r>
    <x v="1"/>
    <x v="5"/>
    <x v="1"/>
    <n v="793949"/>
    <n v="795023"/>
    <n v="0.999"/>
  </r>
  <r>
    <x v="1"/>
    <x v="5"/>
    <x v="2"/>
    <n v="581942"/>
    <n v="576903"/>
    <n v="1.0089999999999999"/>
  </r>
  <r>
    <x v="1"/>
    <x v="5"/>
    <x v="3"/>
    <n v="221177"/>
    <n v="217047"/>
    <n v="1.0189999999999999"/>
  </r>
  <r>
    <x v="1"/>
    <x v="6"/>
    <x v="0"/>
    <n v="103026"/>
    <n v="103512"/>
    <n v="0.995"/>
  </r>
  <r>
    <x v="1"/>
    <x v="6"/>
    <x v="1"/>
    <n v="305381"/>
    <n v="303784"/>
    <n v="1.0049999999999999"/>
  </r>
  <r>
    <x v="1"/>
    <x v="6"/>
    <x v="2"/>
    <n v="308263"/>
    <n v="303584"/>
    <n v="1.0149999999999999"/>
  </r>
  <r>
    <x v="1"/>
    <x v="6"/>
    <x v="3"/>
    <n v="166149"/>
    <n v="161974"/>
    <n v="1.026"/>
  </r>
  <r>
    <x v="1"/>
    <x v="7"/>
    <x v="0"/>
    <n v="44313"/>
    <n v="44083"/>
    <n v="1.0049999999999999"/>
  </r>
  <r>
    <x v="1"/>
    <x v="7"/>
    <x v="1"/>
    <n v="132828"/>
    <n v="130830"/>
    <n v="1.0149999999999999"/>
  </r>
  <r>
    <x v="1"/>
    <x v="7"/>
    <x v="2"/>
    <n v="125491"/>
    <n v="122367"/>
    <n v="1.026"/>
  </r>
  <r>
    <x v="1"/>
    <x v="7"/>
    <x v="3"/>
    <n v="72480"/>
    <n v="69962"/>
    <n v="1.036"/>
  </r>
  <r>
    <x v="1"/>
    <x v="8"/>
    <x v="0"/>
    <n v="79710"/>
    <n v="79934"/>
    <n v="0.997"/>
  </r>
  <r>
    <x v="1"/>
    <x v="8"/>
    <x v="1"/>
    <n v="187367"/>
    <n v="186034"/>
    <n v="1.0069999999999999"/>
  </r>
  <r>
    <x v="1"/>
    <x v="8"/>
    <x v="2"/>
    <n v="136672"/>
    <n v="134342"/>
    <n v="1.0169999999999999"/>
  </r>
  <r>
    <x v="1"/>
    <x v="8"/>
    <x v="3"/>
    <n v="71246"/>
    <n v="69324"/>
    <n v="1.028"/>
  </r>
  <r>
    <x v="1"/>
    <x v="9"/>
    <x v="0"/>
    <n v="26050"/>
    <n v="25870"/>
    <n v="1.0069999999999999"/>
  </r>
  <r>
    <x v="1"/>
    <x v="9"/>
    <x v="1"/>
    <n v="59992"/>
    <n v="58988"/>
    <n v="1.0169999999999999"/>
  </r>
  <r>
    <x v="1"/>
    <x v="9"/>
    <x v="2"/>
    <n v="45240"/>
    <n v="44038"/>
    <n v="1.0269999999999999"/>
  </r>
  <r>
    <x v="1"/>
    <x v="9"/>
    <x v="3"/>
    <n v="23895"/>
    <n v="23025"/>
    <n v="1.038"/>
  </r>
  <r>
    <x v="2"/>
    <x v="0"/>
    <x v="0"/>
    <n v="3126511"/>
    <n v="3676723"/>
    <n v="0.85"/>
  </r>
  <r>
    <x v="2"/>
    <x v="0"/>
    <x v="1"/>
    <n v="4359908"/>
    <n v="4894124"/>
    <n v="0.89100000000000001"/>
  </r>
  <r>
    <x v="2"/>
    <x v="0"/>
    <x v="2"/>
    <n v="1640647"/>
    <n v="1718896"/>
    <n v="0.95399999999999996"/>
  </r>
  <r>
    <x v="2"/>
    <x v="0"/>
    <x v="3"/>
    <n v="496793"/>
    <n v="477998"/>
    <n v="1.0389999999999999"/>
  </r>
  <r>
    <x v="2"/>
    <x v="1"/>
    <x v="0"/>
    <n v="2878212"/>
    <n v="3200388"/>
    <n v="0.89900000000000002"/>
  </r>
  <r>
    <x v="2"/>
    <x v="1"/>
    <x v="1"/>
    <n v="3576185"/>
    <n v="3795739"/>
    <n v="0.94199999999999995"/>
  </r>
  <r>
    <x v="2"/>
    <x v="1"/>
    <x v="2"/>
    <n v="1392001"/>
    <n v="1378963"/>
    <n v="1.0089999999999999"/>
  </r>
  <r>
    <x v="2"/>
    <x v="1"/>
    <x v="3"/>
    <n v="421486"/>
    <n v="383454"/>
    <n v="1.099"/>
  </r>
  <r>
    <x v="2"/>
    <x v="2"/>
    <x v="0"/>
    <n v="1580330"/>
    <n v="1902940"/>
    <n v="0.83"/>
  </r>
  <r>
    <x v="2"/>
    <x v="2"/>
    <x v="1"/>
    <n v="2477210"/>
    <n v="2847324"/>
    <n v="0.87"/>
  </r>
  <r>
    <x v="2"/>
    <x v="2"/>
    <x v="2"/>
    <n v="1233610"/>
    <n v="1323392"/>
    <n v="0.93200000000000005"/>
  </r>
  <r>
    <x v="2"/>
    <x v="2"/>
    <x v="3"/>
    <n v="589816"/>
    <n v="581090"/>
    <n v="1.0149999999999999"/>
  </r>
  <r>
    <x v="2"/>
    <x v="3"/>
    <x v="0"/>
    <n v="1295805"/>
    <n v="1500240"/>
    <n v="0.86399999999999999"/>
  </r>
  <r>
    <x v="2"/>
    <x v="3"/>
    <x v="1"/>
    <n v="1612254"/>
    <n v="1781768"/>
    <n v="0.90500000000000003"/>
  </r>
  <r>
    <x v="2"/>
    <x v="3"/>
    <x v="2"/>
    <n v="801567"/>
    <n v="826788"/>
    <n v="0.96899999999999997"/>
  </r>
  <r>
    <x v="2"/>
    <x v="3"/>
    <x v="3"/>
    <n v="336498"/>
    <n v="318752"/>
    <n v="1.056"/>
  </r>
  <r>
    <x v="2"/>
    <x v="4"/>
    <x v="0"/>
    <n v="995062"/>
    <n v="1215480"/>
    <n v="0.81899999999999995"/>
  </r>
  <r>
    <x v="2"/>
    <x v="4"/>
    <x v="1"/>
    <n v="1639158"/>
    <n v="1911238"/>
    <n v="0.85799999999999998"/>
  </r>
  <r>
    <x v="2"/>
    <x v="4"/>
    <x v="2"/>
    <n v="1446828"/>
    <n v="1574519"/>
    <n v="0.91900000000000004"/>
  </r>
  <r>
    <x v="2"/>
    <x v="4"/>
    <x v="3"/>
    <n v="629803"/>
    <n v="629437"/>
    <n v="1.0009999999999999"/>
  </r>
  <r>
    <x v="2"/>
    <x v="5"/>
    <x v="0"/>
    <n v="505215"/>
    <n v="596662"/>
    <n v="0.84699999999999998"/>
  </r>
  <r>
    <x v="2"/>
    <x v="5"/>
    <x v="1"/>
    <n v="892003"/>
    <n v="1005578"/>
    <n v="0.88700000000000001"/>
  </r>
  <r>
    <x v="2"/>
    <x v="5"/>
    <x v="2"/>
    <n v="739266"/>
    <n v="777833"/>
    <n v="0.95"/>
  </r>
  <r>
    <x v="2"/>
    <x v="5"/>
    <x v="3"/>
    <n v="329598"/>
    <n v="318483"/>
    <n v="1.0349999999999999"/>
  </r>
  <r>
    <x v="2"/>
    <x v="6"/>
    <x v="0"/>
    <n v="111156"/>
    <n v="128419"/>
    <n v="0.86599999999999999"/>
  </r>
  <r>
    <x v="2"/>
    <x v="6"/>
    <x v="1"/>
    <n v="335404"/>
    <n v="369882"/>
    <n v="0.90700000000000003"/>
  </r>
  <r>
    <x v="2"/>
    <x v="6"/>
    <x v="2"/>
    <n v="360552"/>
    <n v="371107"/>
    <n v="0.97199999999999998"/>
  </r>
  <r>
    <x v="2"/>
    <x v="6"/>
    <x v="3"/>
    <n v="227276"/>
    <n v="214833"/>
    <n v="1.0580000000000001"/>
  </r>
  <r>
    <x v="2"/>
    <x v="7"/>
    <x v="0"/>
    <n v="47810"/>
    <n v="54508"/>
    <n v="0.877"/>
  </r>
  <r>
    <x v="2"/>
    <x v="7"/>
    <x v="1"/>
    <n v="144100"/>
    <n v="156821"/>
    <n v="0.91900000000000004"/>
  </r>
  <r>
    <x v="2"/>
    <x v="7"/>
    <x v="2"/>
    <n v="140882"/>
    <n v="143097"/>
    <n v="0.98499999999999999"/>
  </r>
  <r>
    <x v="2"/>
    <x v="7"/>
    <x v="3"/>
    <n v="88339"/>
    <n v="82403"/>
    <n v="1.0720000000000001"/>
  </r>
  <r>
    <x v="2"/>
    <x v="8"/>
    <x v="0"/>
    <n v="86008"/>
    <n v="97923"/>
    <n v="0.878"/>
  </r>
  <r>
    <x v="2"/>
    <x v="8"/>
    <x v="1"/>
    <n v="205871"/>
    <n v="223737"/>
    <n v="0.92"/>
  </r>
  <r>
    <x v="2"/>
    <x v="8"/>
    <x v="2"/>
    <n v="155789"/>
    <n v="158022"/>
    <n v="0.98599999999999999"/>
  </r>
  <r>
    <x v="2"/>
    <x v="8"/>
    <x v="3"/>
    <n v="89466"/>
    <n v="83340"/>
    <n v="1.0740000000000001"/>
  </r>
  <r>
    <x v="2"/>
    <x v="9"/>
    <x v="0"/>
    <n v="28110"/>
    <n v="31653"/>
    <n v="0.88800000000000001"/>
  </r>
  <r>
    <x v="2"/>
    <x v="9"/>
    <x v="1"/>
    <n v="65127"/>
    <n v="70002"/>
    <n v="0.93"/>
  </r>
  <r>
    <x v="2"/>
    <x v="9"/>
    <x v="2"/>
    <n v="50766"/>
    <n v="50928"/>
    <n v="0.997"/>
  </r>
  <r>
    <x v="2"/>
    <x v="9"/>
    <x v="3"/>
    <n v="27696"/>
    <n v="25516"/>
    <n v="1.085"/>
  </r>
  <r>
    <x v="3"/>
    <x v="0"/>
    <x v="0"/>
    <n v="4428778"/>
    <n v="4753665"/>
    <n v="0.93200000000000005"/>
  </r>
  <r>
    <x v="3"/>
    <x v="0"/>
    <x v="1"/>
    <n v="6220668"/>
    <n v="6548600"/>
    <n v="0.95"/>
  </r>
  <r>
    <x v="3"/>
    <x v="0"/>
    <x v="2"/>
    <n v="2549861"/>
    <n v="2605331"/>
    <n v="0.97899999999999998"/>
  </r>
  <r>
    <x v="3"/>
    <x v="0"/>
    <x v="3"/>
    <n v="951394"/>
    <n v="952453"/>
    <n v="0.999"/>
  </r>
  <r>
    <x v="3"/>
    <x v="1"/>
    <x v="0"/>
    <n v="4079496"/>
    <n v="4292002"/>
    <n v="0.95"/>
  </r>
  <r>
    <x v="3"/>
    <x v="1"/>
    <x v="1"/>
    <n v="5089870"/>
    <n v="5252026"/>
    <n v="0.96899999999999997"/>
  </r>
  <r>
    <x v="3"/>
    <x v="1"/>
    <x v="2"/>
    <n v="2177011"/>
    <n v="2180298"/>
    <n v="0.998"/>
  </r>
  <r>
    <x v="3"/>
    <x v="1"/>
    <x v="3"/>
    <n v="836489"/>
    <n v="820828"/>
    <n v="1.0189999999999999"/>
  </r>
  <r>
    <x v="3"/>
    <x v="2"/>
    <x v="0"/>
    <n v="2240129"/>
    <n v="2417410"/>
    <n v="0.92700000000000005"/>
  </r>
  <r>
    <x v="3"/>
    <x v="2"/>
    <x v="1"/>
    <n v="3581385"/>
    <n v="3790489"/>
    <n v="0.94499999999999995"/>
  </r>
  <r>
    <x v="3"/>
    <x v="2"/>
    <x v="2"/>
    <n v="1988728"/>
    <n v="2042935"/>
    <n v="0.97299999999999998"/>
  </r>
  <r>
    <x v="3"/>
    <x v="2"/>
    <x v="3"/>
    <n v="1125053"/>
    <n v="1132371"/>
    <n v="0.99399999999999999"/>
  </r>
  <r>
    <x v="3"/>
    <x v="3"/>
    <x v="0"/>
    <n v="1841979"/>
    <n v="1964111"/>
    <n v="0.93799999999999994"/>
  </r>
  <r>
    <x v="3"/>
    <x v="3"/>
    <x v="1"/>
    <n v="2351971"/>
    <n v="2459688"/>
    <n v="0.95599999999999996"/>
  </r>
  <r>
    <x v="3"/>
    <x v="3"/>
    <x v="2"/>
    <n v="1311434"/>
    <n v="1331158"/>
    <n v="0.98499999999999999"/>
  </r>
  <r>
    <x v="3"/>
    <x v="3"/>
    <x v="3"/>
    <n v="668377"/>
    <n v="664724"/>
    <n v="1.0049999999999999"/>
  </r>
  <r>
    <x v="3"/>
    <x v="4"/>
    <x v="0"/>
    <n v="1419325"/>
    <n v="1510035"/>
    <n v="0.94"/>
  </r>
  <r>
    <x v="3"/>
    <x v="4"/>
    <x v="1"/>
    <n v="2387497"/>
    <n v="2491236"/>
    <n v="0.95799999999999996"/>
  </r>
  <r>
    <x v="3"/>
    <x v="4"/>
    <x v="2"/>
    <n v="2248838"/>
    <n v="2277535"/>
    <n v="0.98699999999999999"/>
  </r>
  <r>
    <x v="3"/>
    <x v="4"/>
    <x v="3"/>
    <n v="1150372"/>
    <n v="1141515"/>
    <n v="1.008"/>
  </r>
  <r>
    <x v="3"/>
    <x v="5"/>
    <x v="0"/>
    <n v="724748"/>
    <n v="779625"/>
    <n v="0.93"/>
  </r>
  <r>
    <x v="3"/>
    <x v="5"/>
    <x v="1"/>
    <n v="1309538"/>
    <n v="1381603"/>
    <n v="0.94799999999999995"/>
  </r>
  <r>
    <x v="3"/>
    <x v="5"/>
    <x v="2"/>
    <n v="1255616"/>
    <n v="1285752"/>
    <n v="0.97699999999999998"/>
  </r>
  <r>
    <x v="3"/>
    <x v="5"/>
    <x v="3"/>
    <n v="712807"/>
    <n v="715169"/>
    <n v="0.997"/>
  </r>
  <r>
    <x v="3"/>
    <x v="6"/>
    <x v="0"/>
    <n v="171111"/>
    <n v="183759"/>
    <n v="0.93100000000000005"/>
  </r>
  <r>
    <x v="3"/>
    <x v="6"/>
    <x v="1"/>
    <n v="509225"/>
    <n v="536348"/>
    <n v="0.94899999999999995"/>
  </r>
  <r>
    <x v="3"/>
    <x v="6"/>
    <x v="2"/>
    <n v="680783"/>
    <n v="695954"/>
    <n v="0.97799999999999998"/>
  </r>
  <r>
    <x v="3"/>
    <x v="6"/>
    <x v="3"/>
    <n v="514742"/>
    <n v="515582"/>
    <n v="0.998"/>
  </r>
  <r>
    <x v="3"/>
    <x v="7"/>
    <x v="0"/>
    <n v="68032"/>
    <n v="72396"/>
    <n v="0.94"/>
  </r>
  <r>
    <x v="3"/>
    <x v="7"/>
    <x v="1"/>
    <n v="224819"/>
    <n v="234638"/>
    <n v="0.95799999999999996"/>
  </r>
  <r>
    <x v="3"/>
    <x v="7"/>
    <x v="2"/>
    <n v="279506"/>
    <n v="283133"/>
    <n v="0.98699999999999999"/>
  </r>
  <r>
    <x v="3"/>
    <x v="7"/>
    <x v="3"/>
    <n v="236345"/>
    <n v="234576"/>
    <n v="1.008"/>
  </r>
  <r>
    <x v="3"/>
    <x v="8"/>
    <x v="0"/>
    <n v="128787"/>
    <n v="137724"/>
    <n v="0.93500000000000005"/>
  </r>
  <r>
    <x v="3"/>
    <x v="8"/>
    <x v="1"/>
    <n v="318278"/>
    <n v="333818"/>
    <n v="0.95299999999999996"/>
  </r>
  <r>
    <x v="3"/>
    <x v="8"/>
    <x v="2"/>
    <n v="304175"/>
    <n v="309643"/>
    <n v="0.98199999999999998"/>
  </r>
  <r>
    <x v="3"/>
    <x v="8"/>
    <x v="3"/>
    <n v="235282"/>
    <n v="234673"/>
    <n v="1.0029999999999999"/>
  </r>
  <r>
    <x v="3"/>
    <x v="9"/>
    <x v="0"/>
    <n v="40158"/>
    <n v="42577"/>
    <n v="0.94299999999999995"/>
  </r>
  <r>
    <x v="3"/>
    <x v="9"/>
    <x v="1"/>
    <n v="103642"/>
    <n v="107770"/>
    <n v="0.96199999999999997"/>
  </r>
  <r>
    <x v="3"/>
    <x v="9"/>
    <x v="2"/>
    <n v="102682"/>
    <n v="103632"/>
    <n v="0.99099999999999999"/>
  </r>
  <r>
    <x v="3"/>
    <x v="9"/>
    <x v="3"/>
    <n v="84155"/>
    <n v="83218"/>
    <n v="1.010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898EF-1089-4596-8621-D716751E978B}" name="PivotTable2" cacheId="0" applyNumberFormats="0" applyBorderFormats="0" applyFontFormats="0" applyPatternFormats="0" applyAlignmentFormats="0" applyWidthHeightFormats="1" dataCaption="Values" updatedVersion="8" minRefreshableVersion="3" showDataTips="0" useAutoFormatting="1" itemPrintTitles="1" createdVersion="8" indent="0" outline="1" outlineData="1" multipleFieldFilters="0">
  <location ref="O2:R23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dataField="1" numFmtId="164" showAll="0"/>
    <pivotField numFmtId="165" showAll="0"/>
    <pivotField dataField="1" dragToRow="0" dragToCol="0" dragToPage="0" showAll="0" defaultSubtotal="0"/>
  </pivotFields>
  <rowFields count="2">
    <field x="0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ctuals" fld="3" baseField="0" baseItem="0" numFmtId="164"/>
    <dataField name="budgets" fld="4" baseField="0" baseItem="0" numFmtId="164"/>
    <dataField name="att%" fld="6" baseField="0" baseItem="0" numFmtId="165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C5550-F81B-4C07-84A7-93019DA1AAE8}" name="PivotTable1" cacheId="0" applyNumberFormats="0" applyBorderFormats="0" applyFontFormats="0" applyPatternFormats="0" applyAlignmentFormats="0" applyWidthHeightFormats="1" dataCaption="Values" updatedVersion="8" minRefreshableVersion="3" showDataTips="0" useAutoFormatting="1" itemPrintTitles="1" createdVersion="8" indent="0" outline="1" outlineData="1" multipleFieldFilters="0">
  <location ref="I2:L47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dataField="1" numFmtId="164" showAll="0"/>
    <pivotField numFmtId="165" showAll="0"/>
    <pivotField dataField="1" dragToRow="0" dragToCol="0" dragToPage="0" showAll="0" defaultSubtotal="0"/>
  </pivotFields>
  <rowFields count="3">
    <field x="0"/>
    <field x="1"/>
    <field x="2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ctuals" fld="3" baseField="0" baseItem="0" numFmtId="164"/>
    <dataField name="budgets" fld="4" baseField="0" baseItem="0" numFmtId="164"/>
    <dataField name="att%" fld="6" baseField="0" baseItem="0" numFmtId="165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68012-6963-4C3F-8B1E-40F564A5E347}" name="Table16" displayName="Table16" ref="B2:F19" totalsRowShown="0">
  <tableColumns count="5">
    <tableColumn id="1" xr3:uid="{59E0EDFA-11BA-4F70-970E-9C303DC2BF68}" name="fiscal_month"/>
    <tableColumn id="2" xr3:uid="{3F9B3583-EBC3-4C6D-9238-355F56767D0D}" name="quarter"/>
    <tableColumn id="3" xr3:uid="{8A9E5CE4-CA62-4DA7-9A14-176B8EE0F7C9}" name="actual" dataDxfId="5" dataCellStyle="Comma"/>
    <tableColumn id="4" xr3:uid="{B38107BC-9178-4F29-BB32-E39051A7B605}" name="budget" dataDxfId="4" dataCellStyle="Comma"/>
    <tableColumn id="5" xr3:uid="{D4E89594-AA85-4354-BD07-9903588FA3F8}" name="attainment" dataDxfId="3">
      <calculatedColumnFormula>Table16[[#This Row],[actual]]/Table16[[#This Row],[budget]]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F618A5-DB27-47A9-A2B7-C7AF6A4884A2}" name="budgets" displayName="budgets" ref="B2:G162" totalsRowShown="0">
  <autoFilter ref="B2:G162" xr:uid="{98F618A5-DB27-47A9-A2B7-C7AF6A4884A2}"/>
  <tableColumns count="6">
    <tableColumn id="1" xr3:uid="{AB4875EC-32F9-4084-89BD-B6AE880E59DB}" name="fiscal_quarter"/>
    <tableColumn id="2" xr3:uid="{1A8DEC5E-2C50-4285-B5CC-CC729F809A7C}" name="subregion_id"/>
    <tableColumn id="3" xr3:uid="{BC90EC0E-634A-402A-95D4-CFDE9B423356}" name="segment"/>
    <tableColumn id="4" xr3:uid="{B7AA8645-380A-4C34-AF31-281326B89CDB}" name="actuals" dataDxfId="2" dataCellStyle="Comma"/>
    <tableColumn id="5" xr3:uid="{1ECAFBB5-AAFF-46F6-9FB0-0DFE37BE0E5D}" name="budgets" dataDxfId="1" dataCellStyle="Comma"/>
    <tableColumn id="6" xr3:uid="{EF0751E6-6096-488F-8914-42531906D3C0}" name="attainment" dataDxfId="0" dataCellStyle="Percent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96DE-5B93-448C-9716-A27CD1C631C3}">
  <dimension ref="B2:R47"/>
  <sheetViews>
    <sheetView workbookViewId="0">
      <selection activeCell="A13" sqref="A13"/>
    </sheetView>
  </sheetViews>
  <sheetFormatPr defaultRowHeight="10.5" x14ac:dyDescent="0.15"/>
  <cols>
    <col min="1" max="1" width="4.83203125" customWidth="1"/>
    <col min="2" max="2" width="14" customWidth="1"/>
    <col min="3" max="3" width="7.5" bestFit="1" customWidth="1"/>
    <col min="4" max="5" width="12.5" bestFit="1" customWidth="1"/>
    <col min="6" max="6" width="10.6640625" bestFit="1" customWidth="1"/>
    <col min="9" max="9" width="21.5" bestFit="1" customWidth="1"/>
    <col min="10" max="11" width="12.5" bestFit="1" customWidth="1"/>
    <col min="12" max="12" width="7.33203125" bestFit="1" customWidth="1"/>
    <col min="13" max="13" width="7.33203125" customWidth="1"/>
    <col min="14" max="14" width="11.5" bestFit="1" customWidth="1"/>
    <col min="15" max="15" width="14.83203125" bestFit="1" customWidth="1"/>
    <col min="16" max="17" width="12.5" bestFit="1" customWidth="1"/>
    <col min="18" max="18" width="7.33203125" bestFit="1" customWidth="1"/>
  </cols>
  <sheetData>
    <row r="2" spans="2:18" x14ac:dyDescent="0.15">
      <c r="B2" t="s">
        <v>0</v>
      </c>
      <c r="C2" t="s">
        <v>1</v>
      </c>
      <c r="D2" t="s">
        <v>2</v>
      </c>
      <c r="E2" t="s">
        <v>3</v>
      </c>
      <c r="F2" t="s">
        <v>4</v>
      </c>
      <c r="I2" s="8" t="s">
        <v>47</v>
      </c>
      <c r="J2" t="s">
        <v>39</v>
      </c>
      <c r="K2" t="s">
        <v>40</v>
      </c>
      <c r="L2" t="s">
        <v>41</v>
      </c>
      <c r="O2" s="8" t="s">
        <v>47</v>
      </c>
      <c r="P2" t="s">
        <v>39</v>
      </c>
      <c r="Q2" t="s">
        <v>40</v>
      </c>
      <c r="R2" t="s">
        <v>41</v>
      </c>
    </row>
    <row r="3" spans="2:18" x14ac:dyDescent="0.15">
      <c r="B3" t="s">
        <v>5</v>
      </c>
      <c r="C3" t="s">
        <v>6</v>
      </c>
      <c r="D3" s="1">
        <v>7461052</v>
      </c>
      <c r="E3" s="1">
        <v>7853739</v>
      </c>
      <c r="F3" s="5">
        <f>Table16[[#This Row],[actual]]/Table16[[#This Row],[budget]]</f>
        <v>0.94999999363360554</v>
      </c>
      <c r="I3" s="9" t="s">
        <v>6</v>
      </c>
      <c r="J3" s="7">
        <v>26598502</v>
      </c>
      <c r="K3" s="7">
        <v>28000000</v>
      </c>
      <c r="L3" s="5">
        <v>0.94994650000000003</v>
      </c>
      <c r="M3" s="5"/>
      <c r="O3" s="9" t="s">
        <v>6</v>
      </c>
      <c r="P3" s="7">
        <v>26598502</v>
      </c>
      <c r="Q3" s="7">
        <v>28000000</v>
      </c>
      <c r="R3" s="5">
        <v>0.94994650000000003</v>
      </c>
    </row>
    <row r="4" spans="2:18" x14ac:dyDescent="0.15">
      <c r="B4" t="s">
        <v>7</v>
      </c>
      <c r="C4" t="s">
        <v>6</v>
      </c>
      <c r="D4" s="1">
        <v>8870326</v>
      </c>
      <c r="E4" s="1">
        <v>9336859</v>
      </c>
      <c r="F4" s="5">
        <f>Table16[[#This Row],[actual]]/Table16[[#This Row],[budget]]</f>
        <v>0.95003319638863559</v>
      </c>
      <c r="I4" s="10" t="s">
        <v>27</v>
      </c>
      <c r="J4" s="7">
        <v>6976087</v>
      </c>
      <c r="K4" s="7">
        <v>7458977</v>
      </c>
      <c r="L4" s="5">
        <v>0.93526055918928297</v>
      </c>
      <c r="M4" s="5"/>
      <c r="O4" s="10" t="s">
        <v>43</v>
      </c>
      <c r="P4" s="7">
        <v>8180240</v>
      </c>
      <c r="Q4" s="7">
        <v>8858461</v>
      </c>
      <c r="R4" s="5">
        <v>0.92343805543649171</v>
      </c>
    </row>
    <row r="5" spans="2:18" x14ac:dyDescent="0.15">
      <c r="B5" t="s">
        <v>8</v>
      </c>
      <c r="C5" t="s">
        <v>6</v>
      </c>
      <c r="D5" s="1">
        <v>10267127</v>
      </c>
      <c r="E5" s="1">
        <v>10807586</v>
      </c>
      <c r="F5" s="5">
        <f>Table16[[#This Row],[actual]]/Table16[[#This Row],[budget]]</f>
        <v>0.94999262555023856</v>
      </c>
      <c r="I5" s="10" t="s">
        <v>28</v>
      </c>
      <c r="J5" s="7">
        <v>6032685</v>
      </c>
      <c r="K5" s="7">
        <v>6184283</v>
      </c>
      <c r="L5" s="5">
        <v>0.97548656812762291</v>
      </c>
      <c r="M5" s="5"/>
      <c r="O5" s="10" t="s">
        <v>44</v>
      </c>
      <c r="P5" s="7">
        <v>11611165</v>
      </c>
      <c r="Q5" s="7">
        <v>12236367</v>
      </c>
      <c r="R5" s="5">
        <v>0.94890623989947342</v>
      </c>
    </row>
    <row r="6" spans="2:18" x14ac:dyDescent="0.15">
      <c r="B6" s="2" t="s">
        <v>9</v>
      </c>
      <c r="C6" s="2" t="s">
        <v>6</v>
      </c>
      <c r="D6" s="3">
        <f>SUBTOTAL(109,D3:D5)</f>
        <v>26598505</v>
      </c>
      <c r="E6" s="3">
        <f>SUBTOTAL(109,E3:E5)</f>
        <v>27998184</v>
      </c>
      <c r="F6" s="6">
        <f>Table16[[#This Row],[actual]]/Table16[[#This Row],[budget]]</f>
        <v>0.95000822196182433</v>
      </c>
      <c r="I6" s="10" t="s">
        <v>29</v>
      </c>
      <c r="J6" s="7">
        <v>4132537</v>
      </c>
      <c r="K6" s="7">
        <v>4418595</v>
      </c>
      <c r="L6" s="5">
        <v>0.93526041648985703</v>
      </c>
      <c r="M6" s="5"/>
      <c r="O6" s="10" t="s">
        <v>45</v>
      </c>
      <c r="P6" s="7">
        <v>5071997</v>
      </c>
      <c r="Q6" s="7">
        <v>5198220</v>
      </c>
      <c r="R6" s="5">
        <v>0.97571803425018566</v>
      </c>
    </row>
    <row r="7" spans="2:18" x14ac:dyDescent="0.15">
      <c r="B7" t="s">
        <v>10</v>
      </c>
      <c r="C7" t="s">
        <v>11</v>
      </c>
      <c r="D7" s="1">
        <v>10206450</v>
      </c>
      <c r="E7" s="1">
        <v>10206450</v>
      </c>
      <c r="F7" s="5">
        <f>Table16[[#This Row],[actual]]/Table16[[#This Row],[budget]]</f>
        <v>1</v>
      </c>
      <c r="I7" s="10" t="s">
        <v>30</v>
      </c>
      <c r="J7" s="7">
        <v>2947200</v>
      </c>
      <c r="K7" s="7">
        <v>3084866</v>
      </c>
      <c r="L7" s="5">
        <v>0.9553737504319475</v>
      </c>
      <c r="M7" s="5"/>
      <c r="O7" s="10" t="s">
        <v>46</v>
      </c>
      <c r="P7" s="7">
        <v>1735100</v>
      </c>
      <c r="Q7" s="7">
        <v>1706952</v>
      </c>
      <c r="R7" s="5">
        <v>1.0164902117927159</v>
      </c>
    </row>
    <row r="8" spans="2:18" x14ac:dyDescent="0.15">
      <c r="B8" t="s">
        <v>12</v>
      </c>
      <c r="C8" t="s">
        <v>11</v>
      </c>
      <c r="D8" s="1">
        <v>10148028</v>
      </c>
      <c r="E8" s="1">
        <v>10148028</v>
      </c>
      <c r="F8" s="5">
        <f>Table16[[#This Row],[actual]]/Table16[[#This Row],[budget]]</f>
        <v>1</v>
      </c>
      <c r="I8" s="10" t="s">
        <v>31</v>
      </c>
      <c r="J8" s="7">
        <v>3220713</v>
      </c>
      <c r="K8" s="7">
        <v>3481084</v>
      </c>
      <c r="L8" s="5">
        <v>0.92520404563635927</v>
      </c>
      <c r="M8" s="5"/>
      <c r="O8" s="9" t="s">
        <v>11</v>
      </c>
      <c r="P8" s="7">
        <v>31934324</v>
      </c>
      <c r="Q8" s="7">
        <v>31934324</v>
      </c>
      <c r="R8" s="5">
        <v>1</v>
      </c>
    </row>
    <row r="9" spans="2:18" x14ac:dyDescent="0.15">
      <c r="B9" t="s">
        <v>13</v>
      </c>
      <c r="C9" t="s">
        <v>11</v>
      </c>
      <c r="D9" s="1">
        <v>11579847</v>
      </c>
      <c r="E9" s="1">
        <v>11579847</v>
      </c>
      <c r="F9" s="5">
        <f>Table16[[#This Row],[actual]]/Table16[[#This Row],[budget]]</f>
        <v>1</v>
      </c>
      <c r="I9" s="10" t="s">
        <v>32</v>
      </c>
      <c r="J9" s="7">
        <v>1721333</v>
      </c>
      <c r="K9" s="7">
        <v>1801739</v>
      </c>
      <c r="L9" s="5">
        <v>0.95537311452990692</v>
      </c>
      <c r="M9" s="5"/>
      <c r="O9" s="10" t="s">
        <v>43</v>
      </c>
      <c r="P9" s="7">
        <v>9673323</v>
      </c>
      <c r="Q9" s="7">
        <v>9766801</v>
      </c>
      <c r="R9" s="5">
        <v>0.99042900536214473</v>
      </c>
    </row>
    <row r="10" spans="2:18" x14ac:dyDescent="0.15">
      <c r="B10" s="2" t="s">
        <v>14</v>
      </c>
      <c r="C10" s="2" t="s">
        <v>11</v>
      </c>
      <c r="D10" s="3">
        <f>SUBTOTAL(109,D7:D9)</f>
        <v>31934325</v>
      </c>
      <c r="E10" s="3">
        <f>SUBTOTAL(109,E7:E9)</f>
        <v>31934325</v>
      </c>
      <c r="F10" s="6">
        <f>Table16[[#This Row],[actual]]/Table16[[#This Row],[budget]]</f>
        <v>1</v>
      </c>
      <c r="I10" s="10" t="s">
        <v>33</v>
      </c>
      <c r="J10" s="7">
        <v>731757</v>
      </c>
      <c r="K10" s="7">
        <v>734991</v>
      </c>
      <c r="L10" s="5">
        <v>0.99559994612178926</v>
      </c>
      <c r="M10" s="5"/>
      <c r="O10" s="10" t="s">
        <v>44</v>
      </c>
      <c r="P10" s="7">
        <v>13743492</v>
      </c>
      <c r="Q10" s="7">
        <v>13749338</v>
      </c>
      <c r="R10" s="5">
        <v>0.99957481589295427</v>
      </c>
    </row>
    <row r="11" spans="2:18" x14ac:dyDescent="0.15">
      <c r="B11" t="s">
        <v>15</v>
      </c>
      <c r="C11" t="s">
        <v>16</v>
      </c>
      <c r="D11" s="1">
        <v>11562270</v>
      </c>
      <c r="E11" s="1">
        <v>12702440</v>
      </c>
      <c r="F11" s="5">
        <f>Table16[[#This Row],[actual]]/Table16[[#This Row],[budget]]</f>
        <v>0.91024007985867283</v>
      </c>
      <c r="I11" s="10" t="s">
        <v>34</v>
      </c>
      <c r="J11" s="7">
        <v>310923</v>
      </c>
      <c r="K11" s="7">
        <v>309174</v>
      </c>
      <c r="L11" s="5">
        <v>1.005657008674727</v>
      </c>
      <c r="M11" s="5"/>
      <c r="O11" s="10" t="s">
        <v>45</v>
      </c>
      <c r="P11" s="7">
        <v>6224970</v>
      </c>
      <c r="Q11" s="7">
        <v>6168896</v>
      </c>
      <c r="R11" s="5">
        <v>1.0090897949973545</v>
      </c>
    </row>
    <row r="12" spans="2:18" x14ac:dyDescent="0.15">
      <c r="B12" t="s">
        <v>17</v>
      </c>
      <c r="C12" t="s">
        <v>16</v>
      </c>
      <c r="D12" s="1">
        <v>11816100</v>
      </c>
      <c r="E12" s="1">
        <v>12985055</v>
      </c>
      <c r="F12" s="5">
        <f>Table16[[#This Row],[actual]]/Table16[[#This Row],[budget]]</f>
        <v>0.90997689266622284</v>
      </c>
      <c r="I12" s="10" t="s">
        <v>35</v>
      </c>
      <c r="J12" s="7">
        <v>396014</v>
      </c>
      <c r="K12" s="7">
        <v>397765</v>
      </c>
      <c r="L12" s="5">
        <v>0.99559790328460274</v>
      </c>
      <c r="M12" s="5"/>
      <c r="O12" s="10" t="s">
        <v>46</v>
      </c>
      <c r="P12" s="7">
        <v>2292539</v>
      </c>
      <c r="Q12" s="7">
        <v>2249289</v>
      </c>
      <c r="R12" s="5">
        <v>1.0192282983645053</v>
      </c>
    </row>
    <row r="13" spans="2:18" x14ac:dyDescent="0.15">
      <c r="B13" t="s">
        <v>18</v>
      </c>
      <c r="C13" t="s">
        <v>16</v>
      </c>
      <c r="D13" s="1">
        <v>13781750</v>
      </c>
      <c r="E13" s="1">
        <v>15142027</v>
      </c>
      <c r="F13" s="5">
        <f>Table16[[#This Row],[actual]]/Table16[[#This Row],[budget]]</f>
        <v>0.91016546199527981</v>
      </c>
      <c r="I13" s="10" t="s">
        <v>36</v>
      </c>
      <c r="J13" s="7">
        <v>129253</v>
      </c>
      <c r="K13" s="7">
        <v>128526</v>
      </c>
      <c r="L13" s="5">
        <v>1.0056564430543236</v>
      </c>
      <c r="M13" s="5"/>
      <c r="O13" s="9" t="s">
        <v>16</v>
      </c>
      <c r="P13" s="7">
        <v>37160118</v>
      </c>
      <c r="Q13" s="7">
        <v>40900000</v>
      </c>
      <c r="R13" s="5">
        <v>0.90856034229828853</v>
      </c>
    </row>
    <row r="14" spans="2:18" x14ac:dyDescent="0.15">
      <c r="B14" s="2" t="s">
        <v>19</v>
      </c>
      <c r="C14" s="2" t="s">
        <v>16</v>
      </c>
      <c r="D14" s="3">
        <f>SUBTOTAL(109,D11:D13)</f>
        <v>37160120</v>
      </c>
      <c r="E14" s="3">
        <f>SUBTOTAL(109,E11:E13)</f>
        <v>40829522</v>
      </c>
      <c r="F14" s="6">
        <f>Table16[[#This Row],[actual]]/Table16[[#This Row],[budget]]</f>
        <v>0.91012870540095958</v>
      </c>
      <c r="I14" s="9" t="s">
        <v>11</v>
      </c>
      <c r="J14" s="7">
        <v>31934324</v>
      </c>
      <c r="K14" s="7">
        <v>31934324</v>
      </c>
      <c r="L14" s="5">
        <v>1</v>
      </c>
      <c r="M14" s="5"/>
      <c r="O14" s="10" t="s">
        <v>43</v>
      </c>
      <c r="P14" s="7">
        <v>10654219</v>
      </c>
      <c r="Q14" s="7">
        <v>12404936</v>
      </c>
      <c r="R14" s="5">
        <v>0.85886932427543361</v>
      </c>
    </row>
    <row r="15" spans="2:18" x14ac:dyDescent="0.15">
      <c r="B15" t="s">
        <v>20</v>
      </c>
      <c r="C15" t="s">
        <v>21</v>
      </c>
      <c r="D15" s="1">
        <v>15781194</v>
      </c>
      <c r="E15" s="1">
        <v>16400000</v>
      </c>
      <c r="F15" s="5">
        <f>Table16[[#This Row],[actual]]/Table16[[#This Row],[budget]]</f>
        <v>0.96226792682926832</v>
      </c>
      <c r="I15" s="10" t="s">
        <v>27</v>
      </c>
      <c r="J15" s="7">
        <v>8368462</v>
      </c>
      <c r="K15" s="7">
        <v>8441148</v>
      </c>
      <c r="L15" s="5">
        <v>0.99138908593949548</v>
      </c>
      <c r="M15" s="5"/>
      <c r="O15" s="10" t="s">
        <v>44</v>
      </c>
      <c r="P15" s="7">
        <v>15307220</v>
      </c>
      <c r="Q15" s="7">
        <v>17056213</v>
      </c>
      <c r="R15" s="5">
        <v>0.89745713189674636</v>
      </c>
    </row>
    <row r="16" spans="2:18" x14ac:dyDescent="0.15">
      <c r="B16" t="s">
        <v>22</v>
      </c>
      <c r="C16" t="s">
        <v>21</v>
      </c>
      <c r="D16" s="1">
        <v>17829693</v>
      </c>
      <c r="E16" s="1">
        <v>18530000</v>
      </c>
      <c r="F16" s="5">
        <f>Table16[[#This Row],[actual]]/Table16[[#This Row],[budget]]</f>
        <v>0.96220685375067461</v>
      </c>
      <c r="I16" s="10" t="s">
        <v>28</v>
      </c>
      <c r="J16" s="7">
        <v>7183569</v>
      </c>
      <c r="K16" s="7">
        <v>7102478</v>
      </c>
      <c r="L16" s="5">
        <v>1.0114172828131252</v>
      </c>
      <c r="M16" s="5"/>
      <c r="O16" s="10" t="s">
        <v>45</v>
      </c>
      <c r="P16" s="7">
        <v>7961908</v>
      </c>
      <c r="Q16" s="7">
        <v>8323545</v>
      </c>
      <c r="R16" s="5">
        <v>0.9565525265977417</v>
      </c>
    </row>
    <row r="17" spans="2:18" x14ac:dyDescent="0.15">
      <c r="B17" t="s">
        <v>23</v>
      </c>
      <c r="C17" t="s">
        <v>21</v>
      </c>
      <c r="D17" s="1">
        <v>23042199</v>
      </c>
      <c r="E17" s="1">
        <v>23970000</v>
      </c>
      <c r="F17" s="5">
        <f>Table16[[#This Row],[actual]]/Table16[[#This Row],[budget]]</f>
        <v>0.96129324155193996</v>
      </c>
      <c r="I17" s="10" t="s">
        <v>29</v>
      </c>
      <c r="J17" s="7">
        <v>5009597</v>
      </c>
      <c r="K17" s="7">
        <v>5053109</v>
      </c>
      <c r="L17" s="5">
        <v>0.99138906364378843</v>
      </c>
      <c r="M17" s="5"/>
      <c r="O17" s="10" t="s">
        <v>46</v>
      </c>
      <c r="P17" s="7">
        <v>3236771</v>
      </c>
      <c r="Q17" s="7">
        <v>3115306</v>
      </c>
      <c r="R17" s="5">
        <v>1.0389897493215754</v>
      </c>
    </row>
    <row r="18" spans="2:18" x14ac:dyDescent="0.15">
      <c r="B18" s="2" t="s">
        <v>24</v>
      </c>
      <c r="C18" s="2" t="s">
        <v>21</v>
      </c>
      <c r="D18" s="3">
        <f>SUBTOTAL(109,D15:D17)</f>
        <v>56653086</v>
      </c>
      <c r="E18" s="3">
        <f>SUBTOTAL(109,E15:E17)</f>
        <v>58900000</v>
      </c>
      <c r="F18" s="6">
        <f>Table16[[#This Row],[actual]]/Table16[[#This Row],[budget]]</f>
        <v>0.96185205432937182</v>
      </c>
      <c r="I18" s="10" t="s">
        <v>30</v>
      </c>
      <c r="J18" s="7">
        <v>3519496</v>
      </c>
      <c r="K18" s="7">
        <v>3479766</v>
      </c>
      <c r="L18" s="5">
        <v>1.0114174343907032</v>
      </c>
      <c r="M18" s="5"/>
      <c r="O18" s="9" t="s">
        <v>21</v>
      </c>
      <c r="P18" s="7">
        <v>56653086</v>
      </c>
      <c r="Q18" s="7">
        <v>58900000</v>
      </c>
      <c r="R18" s="5">
        <v>0.96185205432937182</v>
      </c>
    </row>
    <row r="19" spans="2:18" x14ac:dyDescent="0.15">
      <c r="B19" s="2" t="s">
        <v>25</v>
      </c>
      <c r="C19" s="2" t="s">
        <v>26</v>
      </c>
      <c r="D19" s="3">
        <f>SUBTOTAL(109,D3:D18)</f>
        <v>152346036</v>
      </c>
      <c r="E19" s="3">
        <f>SUBTOTAL(109,E3:E18)</f>
        <v>159662031</v>
      </c>
      <c r="F19" s="6">
        <f>Table16[[#This Row],[actual]]/Table16[[#This Row],[budget]]</f>
        <v>0.95417824166347975</v>
      </c>
      <c r="I19" s="10" t="s">
        <v>31</v>
      </c>
      <c r="J19" s="7">
        <v>3909206</v>
      </c>
      <c r="K19" s="7">
        <v>3943160</v>
      </c>
      <c r="L19" s="5">
        <v>0.9913891396747786</v>
      </c>
      <c r="M19" s="5"/>
      <c r="O19" s="10" t="s">
        <v>43</v>
      </c>
      <c r="P19" s="7">
        <v>15142543</v>
      </c>
      <c r="Q19" s="7">
        <v>16153304</v>
      </c>
      <c r="R19" s="5">
        <v>0.93742698088267262</v>
      </c>
    </row>
    <row r="20" spans="2:18" x14ac:dyDescent="0.15">
      <c r="I20" s="10" t="s">
        <v>32</v>
      </c>
      <c r="J20" s="7">
        <v>2055891</v>
      </c>
      <c r="K20" s="7">
        <v>2053012</v>
      </c>
      <c r="L20" s="5">
        <v>1.0014023298451251</v>
      </c>
      <c r="M20" s="5"/>
      <c r="O20" s="10" t="s">
        <v>44</v>
      </c>
      <c r="P20" s="7">
        <v>22096893</v>
      </c>
      <c r="Q20" s="7">
        <v>23136216</v>
      </c>
      <c r="R20" s="5">
        <v>0.9550780905572458</v>
      </c>
    </row>
    <row r="21" spans="2:18" x14ac:dyDescent="0.15">
      <c r="I21" s="10" t="s">
        <v>33</v>
      </c>
      <c r="J21" s="7">
        <v>882819</v>
      </c>
      <c r="K21" s="7">
        <v>872854</v>
      </c>
      <c r="L21" s="5">
        <v>1.0114165713853633</v>
      </c>
      <c r="M21" s="5"/>
      <c r="O21" s="10" t="s">
        <v>45</v>
      </c>
      <c r="P21" s="7">
        <v>12898634</v>
      </c>
      <c r="Q21" s="7">
        <v>13115371</v>
      </c>
      <c r="R21" s="5">
        <v>0.98347458108504904</v>
      </c>
    </row>
    <row r="22" spans="2:18" x14ac:dyDescent="0.15">
      <c r="I22" s="10" t="s">
        <v>34</v>
      </c>
      <c r="J22" s="7">
        <v>375112</v>
      </c>
      <c r="K22" s="7">
        <v>367242</v>
      </c>
      <c r="L22" s="5">
        <v>1.0214300107286203</v>
      </c>
      <c r="M22" s="5"/>
      <c r="O22" s="10" t="s">
        <v>46</v>
      </c>
      <c r="P22" s="7">
        <v>6515016</v>
      </c>
      <c r="Q22" s="7">
        <v>6495109</v>
      </c>
      <c r="R22" s="5">
        <v>1.003064921620253</v>
      </c>
    </row>
    <row r="23" spans="2:18" x14ac:dyDescent="0.15">
      <c r="I23" s="10" t="s">
        <v>35</v>
      </c>
      <c r="J23" s="7">
        <v>474995</v>
      </c>
      <c r="K23" s="7">
        <v>469634</v>
      </c>
      <c r="L23" s="5">
        <v>1.0114152723184437</v>
      </c>
      <c r="M23" s="5"/>
      <c r="O23" s="9" t="s">
        <v>25</v>
      </c>
      <c r="P23" s="7">
        <v>152346030</v>
      </c>
      <c r="Q23" s="7">
        <v>159734324</v>
      </c>
      <c r="R23" s="5">
        <v>0.95374635948626796</v>
      </c>
    </row>
    <row r="24" spans="2:18" x14ac:dyDescent="0.15">
      <c r="I24" s="10" t="s">
        <v>36</v>
      </c>
      <c r="J24" s="7">
        <v>155177</v>
      </c>
      <c r="K24" s="7">
        <v>151921</v>
      </c>
      <c r="L24" s="5">
        <v>1.0214321917312288</v>
      </c>
      <c r="M24" s="5"/>
    </row>
    <row r="25" spans="2:18" x14ac:dyDescent="0.15">
      <c r="I25" s="9" t="s">
        <v>16</v>
      </c>
      <c r="J25" s="7">
        <v>37160118</v>
      </c>
      <c r="K25" s="7">
        <v>40900000</v>
      </c>
      <c r="L25" s="5">
        <v>0.90856034229828853</v>
      </c>
      <c r="M25" s="5"/>
    </row>
    <row r="26" spans="2:18" x14ac:dyDescent="0.15">
      <c r="I26" s="10" t="s">
        <v>27</v>
      </c>
      <c r="J26" s="7">
        <v>9623859</v>
      </c>
      <c r="K26" s="7">
        <v>10767741</v>
      </c>
      <c r="L26" s="5">
        <v>0.89376768999180056</v>
      </c>
      <c r="M26" s="5"/>
    </row>
    <row r="27" spans="2:18" x14ac:dyDescent="0.15">
      <c r="I27" s="10" t="s">
        <v>28</v>
      </c>
      <c r="J27" s="7">
        <v>8267884</v>
      </c>
      <c r="K27" s="7">
        <v>8758544</v>
      </c>
      <c r="L27" s="5">
        <v>0.94397927326733755</v>
      </c>
      <c r="M27" s="5"/>
    </row>
    <row r="28" spans="2:18" x14ac:dyDescent="0.15">
      <c r="I28" s="10" t="s">
        <v>29</v>
      </c>
      <c r="J28" s="7">
        <v>5880966</v>
      </c>
      <c r="K28" s="7">
        <v>6654746</v>
      </c>
      <c r="L28" s="5">
        <v>0.88372508883133927</v>
      </c>
      <c r="M28" s="5"/>
    </row>
    <row r="29" spans="2:18" x14ac:dyDescent="0.15">
      <c r="I29" s="10" t="s">
        <v>30</v>
      </c>
      <c r="J29" s="7">
        <v>4046124</v>
      </c>
      <c r="K29" s="7">
        <v>4427548</v>
      </c>
      <c r="L29" s="5">
        <v>0.91385209149624125</v>
      </c>
      <c r="M29" s="5"/>
    </row>
    <row r="30" spans="2:18" x14ac:dyDescent="0.15">
      <c r="I30" s="10" t="s">
        <v>31</v>
      </c>
      <c r="J30" s="7">
        <v>4710851</v>
      </c>
      <c r="K30" s="7">
        <v>5330674</v>
      </c>
      <c r="L30" s="5">
        <v>0.88372520998282766</v>
      </c>
      <c r="M30" s="5"/>
    </row>
    <row r="31" spans="2:18" x14ac:dyDescent="0.15">
      <c r="I31" s="10" t="s">
        <v>32</v>
      </c>
      <c r="J31" s="7">
        <v>2466082</v>
      </c>
      <c r="K31" s="7">
        <v>2698556</v>
      </c>
      <c r="L31" s="5">
        <v>0.91385244553012801</v>
      </c>
      <c r="M31" s="5"/>
    </row>
    <row r="32" spans="2:18" x14ac:dyDescent="0.15">
      <c r="I32" s="10" t="s">
        <v>33</v>
      </c>
      <c r="J32" s="7">
        <v>1034388</v>
      </c>
      <c r="K32" s="7">
        <v>1084241</v>
      </c>
      <c r="L32" s="5">
        <v>0.95402037000998852</v>
      </c>
      <c r="M32" s="5"/>
    </row>
    <row r="33" spans="9:13" x14ac:dyDescent="0.15">
      <c r="I33" s="10" t="s">
        <v>34</v>
      </c>
      <c r="J33" s="7">
        <v>421131</v>
      </c>
      <c r="K33" s="7">
        <v>436829</v>
      </c>
      <c r="L33" s="5">
        <v>0.96406374118934413</v>
      </c>
      <c r="M33" s="5"/>
    </row>
    <row r="34" spans="9:13" x14ac:dyDescent="0.15">
      <c r="I34" s="10" t="s">
        <v>35</v>
      </c>
      <c r="J34" s="7">
        <v>537134</v>
      </c>
      <c r="K34" s="7">
        <v>563022</v>
      </c>
      <c r="L34" s="5">
        <v>0.95401955873837962</v>
      </c>
      <c r="M34" s="5"/>
    </row>
    <row r="35" spans="9:13" x14ac:dyDescent="0.15">
      <c r="I35" s="10" t="s">
        <v>36</v>
      </c>
      <c r="J35" s="7">
        <v>171699</v>
      </c>
      <c r="K35" s="7">
        <v>178099</v>
      </c>
      <c r="L35" s="5">
        <v>0.9640649301792823</v>
      </c>
      <c r="M35" s="5"/>
    </row>
    <row r="36" spans="9:13" x14ac:dyDescent="0.15">
      <c r="I36" s="9" t="s">
        <v>21</v>
      </c>
      <c r="J36" s="7">
        <v>56653086</v>
      </c>
      <c r="K36" s="7">
        <v>58900000</v>
      </c>
      <c r="L36" s="5">
        <v>0.96185205432937182</v>
      </c>
      <c r="M36" s="5"/>
    </row>
    <row r="37" spans="9:13" x14ac:dyDescent="0.15">
      <c r="I37" s="10" t="s">
        <v>27</v>
      </c>
      <c r="J37" s="7">
        <v>14150701</v>
      </c>
      <c r="K37" s="7">
        <v>14860049</v>
      </c>
      <c r="L37" s="5">
        <v>0.95226476036519125</v>
      </c>
      <c r="M37" s="5"/>
    </row>
    <row r="38" spans="9:13" x14ac:dyDescent="0.15">
      <c r="I38" s="10" t="s">
        <v>28</v>
      </c>
      <c r="J38" s="7">
        <v>12182866</v>
      </c>
      <c r="K38" s="7">
        <v>12545154</v>
      </c>
      <c r="L38" s="5">
        <v>0.97112127918078961</v>
      </c>
      <c r="M38" s="5"/>
    </row>
    <row r="39" spans="9:13" x14ac:dyDescent="0.15">
      <c r="I39" s="10" t="s">
        <v>29</v>
      </c>
      <c r="J39" s="7">
        <v>8935295</v>
      </c>
      <c r="K39" s="7">
        <v>9383205</v>
      </c>
      <c r="L39" s="5">
        <v>0.95226471125804024</v>
      </c>
      <c r="M39" s="5"/>
    </row>
    <row r="40" spans="9:13" x14ac:dyDescent="0.15">
      <c r="I40" s="10" t="s">
        <v>30</v>
      </c>
      <c r="J40" s="7">
        <v>6173761</v>
      </c>
      <c r="K40" s="7">
        <v>6419681</v>
      </c>
      <c r="L40" s="5">
        <v>0.96169280062358242</v>
      </c>
      <c r="M40" s="5"/>
    </row>
    <row r="41" spans="9:13" x14ac:dyDescent="0.15">
      <c r="I41" s="10" t="s">
        <v>31</v>
      </c>
      <c r="J41" s="7">
        <v>7206032</v>
      </c>
      <c r="K41" s="7">
        <v>7420321</v>
      </c>
      <c r="L41" s="5">
        <v>0.97112133019582303</v>
      </c>
      <c r="M41" s="5"/>
    </row>
    <row r="42" spans="9:13" x14ac:dyDescent="0.15">
      <c r="I42" s="10" t="s">
        <v>32</v>
      </c>
      <c r="J42" s="7">
        <v>4002709</v>
      </c>
      <c r="K42" s="7">
        <v>4162149</v>
      </c>
      <c r="L42" s="5">
        <v>0.96169286587289404</v>
      </c>
      <c r="M42" s="5"/>
    </row>
    <row r="43" spans="9:13" x14ac:dyDescent="0.15">
      <c r="I43" s="10" t="s">
        <v>33</v>
      </c>
      <c r="J43" s="7">
        <v>1875861</v>
      </c>
      <c r="K43" s="7">
        <v>1931643</v>
      </c>
      <c r="L43" s="5">
        <v>0.97112199303908642</v>
      </c>
      <c r="M43" s="5"/>
    </row>
    <row r="44" spans="9:13" x14ac:dyDescent="0.15">
      <c r="I44" s="10" t="s">
        <v>34</v>
      </c>
      <c r="J44" s="7">
        <v>808702</v>
      </c>
      <c r="K44" s="7">
        <v>824743</v>
      </c>
      <c r="L44" s="5">
        <v>0.98055030476160454</v>
      </c>
      <c r="M44" s="5"/>
    </row>
    <row r="45" spans="9:13" x14ac:dyDescent="0.15">
      <c r="I45" s="10" t="s">
        <v>35</v>
      </c>
      <c r="J45" s="7">
        <v>986522</v>
      </c>
      <c r="K45" s="7">
        <v>1015858</v>
      </c>
      <c r="L45" s="5">
        <v>0.97112194814629604</v>
      </c>
      <c r="M45" s="5"/>
    </row>
    <row r="46" spans="9:13" x14ac:dyDescent="0.15">
      <c r="I46" s="10" t="s">
        <v>36</v>
      </c>
      <c r="J46" s="7">
        <v>330637</v>
      </c>
      <c r="K46" s="7">
        <v>337197</v>
      </c>
      <c r="L46" s="5">
        <v>0.98054549714261985</v>
      </c>
      <c r="M46" s="5"/>
    </row>
    <row r="47" spans="9:13" x14ac:dyDescent="0.15">
      <c r="I47" s="9" t="s">
        <v>25</v>
      </c>
      <c r="J47" s="7">
        <v>152346030</v>
      </c>
      <c r="K47" s="7">
        <v>159734324</v>
      </c>
      <c r="L47" s="5">
        <v>0.95374635948626796</v>
      </c>
      <c r="M47" s="5"/>
    </row>
  </sheetData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D633-A192-438F-A5F8-91B60A42C644}">
  <dimension ref="B2:G162"/>
  <sheetViews>
    <sheetView tabSelected="1" workbookViewId="0">
      <selection activeCell="E15" sqref="E15"/>
    </sheetView>
  </sheetViews>
  <sheetFormatPr defaultRowHeight="10.5" x14ac:dyDescent="0.15"/>
  <cols>
    <col min="1" max="1" width="6" customWidth="1"/>
    <col min="2" max="2" width="14.6640625" customWidth="1"/>
    <col min="3" max="3" width="16.83203125" bestFit="1" customWidth="1"/>
    <col min="4" max="4" width="10.83203125" bestFit="1" customWidth="1"/>
    <col min="5" max="6" width="13" bestFit="1" customWidth="1"/>
    <col min="7" max="7" width="12.83203125" bestFit="1" customWidth="1"/>
    <col min="11" max="11" width="21.33203125" bestFit="1" customWidth="1"/>
    <col min="12" max="13" width="12.5" bestFit="1" customWidth="1"/>
    <col min="14" max="14" width="7.33203125" bestFit="1" customWidth="1"/>
  </cols>
  <sheetData>
    <row r="2" spans="2:7" x14ac:dyDescent="0.15">
      <c r="B2" t="s">
        <v>37</v>
      </c>
      <c r="C2" t="s">
        <v>38</v>
      </c>
      <c r="D2" t="s">
        <v>42</v>
      </c>
      <c r="E2" t="s">
        <v>39</v>
      </c>
      <c r="F2" t="s">
        <v>40</v>
      </c>
      <c r="G2" t="s">
        <v>4</v>
      </c>
    </row>
    <row r="3" spans="2:7" x14ac:dyDescent="0.15">
      <c r="B3" t="s">
        <v>6</v>
      </c>
      <c r="C3" t="s">
        <v>27</v>
      </c>
      <c r="D3" t="s">
        <v>43</v>
      </c>
      <c r="E3" s="1">
        <v>2361715</v>
      </c>
      <c r="F3" s="1">
        <v>2591115</v>
      </c>
      <c r="G3" s="4">
        <v>0.91100000000000003</v>
      </c>
    </row>
    <row r="4" spans="2:7" x14ac:dyDescent="0.15">
      <c r="B4" t="s">
        <v>6</v>
      </c>
      <c r="C4" t="s">
        <v>27</v>
      </c>
      <c r="D4" t="s">
        <v>44</v>
      </c>
      <c r="E4" s="1">
        <v>3314061</v>
      </c>
      <c r="F4" s="1">
        <v>3533060</v>
      </c>
      <c r="G4" s="4">
        <v>0.93799999999999994</v>
      </c>
    </row>
    <row r="5" spans="2:7" x14ac:dyDescent="0.15">
      <c r="B5" t="s">
        <v>6</v>
      </c>
      <c r="C5" t="s">
        <v>27</v>
      </c>
      <c r="D5" t="s">
        <v>45</v>
      </c>
      <c r="E5" s="1">
        <v>1033172</v>
      </c>
      <c r="F5" s="1">
        <v>1069365</v>
      </c>
      <c r="G5" s="4">
        <v>0.96599999999999997</v>
      </c>
    </row>
    <row r="6" spans="2:7" x14ac:dyDescent="0.15">
      <c r="B6" t="s">
        <v>6</v>
      </c>
      <c r="C6" t="s">
        <v>27</v>
      </c>
      <c r="D6" t="s">
        <v>46</v>
      </c>
      <c r="E6" s="1">
        <v>267139</v>
      </c>
      <c r="F6" s="1">
        <v>265437</v>
      </c>
      <c r="G6" s="4">
        <v>1.006</v>
      </c>
    </row>
    <row r="7" spans="2:7" x14ac:dyDescent="0.15">
      <c r="B7" t="s">
        <v>6</v>
      </c>
      <c r="C7" t="s">
        <v>28</v>
      </c>
      <c r="D7" t="s">
        <v>43</v>
      </c>
      <c r="E7" s="1">
        <v>2273804</v>
      </c>
      <c r="F7" s="1">
        <v>2388276</v>
      </c>
      <c r="G7" s="4">
        <v>0.95199999999999996</v>
      </c>
    </row>
    <row r="8" spans="2:7" x14ac:dyDescent="0.15">
      <c r="B8" t="s">
        <v>6</v>
      </c>
      <c r="C8" t="s">
        <v>28</v>
      </c>
      <c r="D8" t="s">
        <v>44</v>
      </c>
      <c r="E8" s="1">
        <v>2687670</v>
      </c>
      <c r="F8" s="1">
        <v>2743082</v>
      </c>
      <c r="G8" s="4">
        <v>0.98</v>
      </c>
    </row>
    <row r="9" spans="2:7" x14ac:dyDescent="0.15">
      <c r="B9" t="s">
        <v>6</v>
      </c>
      <c r="C9" t="s">
        <v>28</v>
      </c>
      <c r="D9" t="s">
        <v>45</v>
      </c>
      <c r="E9" s="1">
        <v>856073</v>
      </c>
      <c r="F9" s="1">
        <v>848274</v>
      </c>
      <c r="G9" s="4">
        <v>1.0089999999999999</v>
      </c>
    </row>
    <row r="10" spans="2:7" x14ac:dyDescent="0.15">
      <c r="B10" t="s">
        <v>6</v>
      </c>
      <c r="C10" t="s">
        <v>28</v>
      </c>
      <c r="D10" t="s">
        <v>46</v>
      </c>
      <c r="E10" s="1">
        <v>215138</v>
      </c>
      <c r="F10" s="1">
        <v>204651</v>
      </c>
      <c r="G10" s="4">
        <v>1.0509999999999999</v>
      </c>
    </row>
    <row r="11" spans="2:7" x14ac:dyDescent="0.15">
      <c r="B11" t="s">
        <v>6</v>
      </c>
      <c r="C11" t="s">
        <v>29</v>
      </c>
      <c r="D11" t="s">
        <v>43</v>
      </c>
      <c r="E11" s="1">
        <v>1193615</v>
      </c>
      <c r="F11" s="1">
        <v>1316015</v>
      </c>
      <c r="G11" s="4">
        <v>0.90700000000000003</v>
      </c>
    </row>
    <row r="12" spans="2:7" x14ac:dyDescent="0.15">
      <c r="B12" t="s">
        <v>6</v>
      </c>
      <c r="C12" t="s">
        <v>29</v>
      </c>
      <c r="D12" t="s">
        <v>44</v>
      </c>
      <c r="E12" s="1">
        <v>1860626</v>
      </c>
      <c r="F12" s="1">
        <v>1993365</v>
      </c>
      <c r="G12" s="4">
        <v>0.93300000000000005</v>
      </c>
    </row>
    <row r="13" spans="2:7" x14ac:dyDescent="0.15">
      <c r="B13" t="s">
        <v>6</v>
      </c>
      <c r="C13" t="s">
        <v>29</v>
      </c>
      <c r="D13" t="s">
        <v>45</v>
      </c>
      <c r="E13" s="1">
        <v>781205</v>
      </c>
      <c r="F13" s="1">
        <v>812560</v>
      </c>
      <c r="G13" s="4">
        <v>0.96099999999999997</v>
      </c>
    </row>
    <row r="14" spans="2:7" x14ac:dyDescent="0.15">
      <c r="B14" t="s">
        <v>6</v>
      </c>
      <c r="C14" t="s">
        <v>29</v>
      </c>
      <c r="D14" t="s">
        <v>46</v>
      </c>
      <c r="E14" s="1">
        <v>297091</v>
      </c>
      <c r="F14" s="1">
        <v>296655</v>
      </c>
      <c r="G14" s="4">
        <v>1.0009999999999999</v>
      </c>
    </row>
    <row r="15" spans="2:7" x14ac:dyDescent="0.15">
      <c r="B15" t="s">
        <v>6</v>
      </c>
      <c r="C15" t="s">
        <v>30</v>
      </c>
      <c r="D15" t="s">
        <v>43</v>
      </c>
      <c r="E15" s="1">
        <v>985817</v>
      </c>
      <c r="F15" s="1">
        <v>1061816</v>
      </c>
      <c r="G15" s="4">
        <v>0.92800000000000005</v>
      </c>
    </row>
    <row r="16" spans="2:7" x14ac:dyDescent="0.15">
      <c r="B16" t="s">
        <v>6</v>
      </c>
      <c r="C16" t="s">
        <v>30</v>
      </c>
      <c r="D16" t="s">
        <v>44</v>
      </c>
      <c r="E16" s="1">
        <v>1240958</v>
      </c>
      <c r="F16" s="1">
        <v>1298796</v>
      </c>
      <c r="G16" s="4">
        <v>0.95499999999999996</v>
      </c>
    </row>
    <row r="17" spans="2:7" x14ac:dyDescent="0.15">
      <c r="B17" t="s">
        <v>6</v>
      </c>
      <c r="C17" t="s">
        <v>30</v>
      </c>
      <c r="D17" t="s">
        <v>45</v>
      </c>
      <c r="E17" s="1">
        <v>528811</v>
      </c>
      <c r="F17" s="1">
        <v>537338</v>
      </c>
      <c r="G17" s="4">
        <v>0.98399999999999999</v>
      </c>
    </row>
    <row r="18" spans="2:7" x14ac:dyDescent="0.15">
      <c r="B18" t="s">
        <v>6</v>
      </c>
      <c r="C18" t="s">
        <v>30</v>
      </c>
      <c r="D18" t="s">
        <v>46</v>
      </c>
      <c r="E18" s="1">
        <v>191614</v>
      </c>
      <c r="F18" s="1">
        <v>186916</v>
      </c>
      <c r="G18" s="4">
        <v>1.0249999999999999</v>
      </c>
    </row>
    <row r="19" spans="2:7" x14ac:dyDescent="0.15">
      <c r="B19" t="s">
        <v>6</v>
      </c>
      <c r="C19" t="s">
        <v>31</v>
      </c>
      <c r="D19" t="s">
        <v>43</v>
      </c>
      <c r="E19" s="1">
        <v>754151</v>
      </c>
      <c r="F19" s="1">
        <v>845779</v>
      </c>
      <c r="G19" s="4">
        <v>0.89200000000000002</v>
      </c>
    </row>
    <row r="20" spans="2:7" x14ac:dyDescent="0.15">
      <c r="B20" t="s">
        <v>6</v>
      </c>
      <c r="C20" t="s">
        <v>31</v>
      </c>
      <c r="D20" t="s">
        <v>44</v>
      </c>
      <c r="E20" s="1">
        <v>1247323</v>
      </c>
      <c r="F20" s="1">
        <v>1359281</v>
      </c>
      <c r="G20" s="4">
        <v>0.91800000000000004</v>
      </c>
    </row>
    <row r="21" spans="2:7" x14ac:dyDescent="0.15">
      <c r="B21" t="s">
        <v>6</v>
      </c>
      <c r="C21" t="s">
        <v>31</v>
      </c>
      <c r="D21" t="s">
        <v>45</v>
      </c>
      <c r="E21" s="1">
        <v>889559</v>
      </c>
      <c r="F21" s="1">
        <v>941169</v>
      </c>
      <c r="G21" s="4">
        <v>0.94499999999999995</v>
      </c>
    </row>
    <row r="22" spans="2:7" x14ac:dyDescent="0.15">
      <c r="B22" t="s">
        <v>6</v>
      </c>
      <c r="C22" t="s">
        <v>31</v>
      </c>
      <c r="D22" t="s">
        <v>46</v>
      </c>
      <c r="E22" s="1">
        <v>329680</v>
      </c>
      <c r="F22" s="1">
        <v>334855</v>
      </c>
      <c r="G22" s="4">
        <v>0.98499999999999999</v>
      </c>
    </row>
    <row r="23" spans="2:7" x14ac:dyDescent="0.15">
      <c r="B23" t="s">
        <v>6</v>
      </c>
      <c r="C23" t="s">
        <v>32</v>
      </c>
      <c r="D23" t="s">
        <v>43</v>
      </c>
      <c r="E23" s="1">
        <v>393880</v>
      </c>
      <c r="F23" s="1">
        <v>427820</v>
      </c>
      <c r="G23" s="4">
        <v>0.92100000000000004</v>
      </c>
    </row>
    <row r="24" spans="2:7" x14ac:dyDescent="0.15">
      <c r="B24" t="s">
        <v>6</v>
      </c>
      <c r="C24" t="s">
        <v>32</v>
      </c>
      <c r="D24" t="s">
        <v>44</v>
      </c>
      <c r="E24" s="1">
        <v>676340</v>
      </c>
      <c r="F24" s="1">
        <v>713828</v>
      </c>
      <c r="G24" s="4">
        <v>0.94699999999999995</v>
      </c>
    </row>
    <row r="25" spans="2:7" x14ac:dyDescent="0.15">
      <c r="B25" t="s">
        <v>6</v>
      </c>
      <c r="C25" t="s">
        <v>32</v>
      </c>
      <c r="D25" t="s">
        <v>45</v>
      </c>
      <c r="E25" s="1">
        <v>477955</v>
      </c>
      <c r="F25" s="1">
        <v>489755</v>
      </c>
      <c r="G25" s="4">
        <v>0.97599999999999998</v>
      </c>
    </row>
    <row r="26" spans="2:7" x14ac:dyDescent="0.15">
      <c r="B26" t="s">
        <v>6</v>
      </c>
      <c r="C26" t="s">
        <v>32</v>
      </c>
      <c r="D26" t="s">
        <v>46</v>
      </c>
      <c r="E26" s="1">
        <v>173158</v>
      </c>
      <c r="F26" s="1">
        <v>170336</v>
      </c>
      <c r="G26" s="4">
        <v>1.0169999999999999</v>
      </c>
    </row>
    <row r="27" spans="2:7" x14ac:dyDescent="0.15">
      <c r="B27" t="s">
        <v>6</v>
      </c>
      <c r="C27" t="s">
        <v>33</v>
      </c>
      <c r="D27" t="s">
        <v>43</v>
      </c>
      <c r="E27" s="1">
        <v>88440</v>
      </c>
      <c r="F27" s="1">
        <v>93153</v>
      </c>
      <c r="G27" s="4">
        <v>0.94899999999999995</v>
      </c>
    </row>
    <row r="28" spans="2:7" x14ac:dyDescent="0.15">
      <c r="B28" t="s">
        <v>6</v>
      </c>
      <c r="C28" t="s">
        <v>33</v>
      </c>
      <c r="D28" t="s">
        <v>44</v>
      </c>
      <c r="E28" s="1">
        <v>260284</v>
      </c>
      <c r="F28" s="1">
        <v>266395</v>
      </c>
      <c r="G28" s="4">
        <v>0.97699999999999998</v>
      </c>
    </row>
    <row r="29" spans="2:7" x14ac:dyDescent="0.15">
      <c r="B29" t="s">
        <v>6</v>
      </c>
      <c r="C29" t="s">
        <v>33</v>
      </c>
      <c r="D29" t="s">
        <v>45</v>
      </c>
      <c r="E29" s="1">
        <v>253066</v>
      </c>
      <c r="F29" s="1">
        <v>251464</v>
      </c>
      <c r="G29" s="4">
        <v>1.006</v>
      </c>
    </row>
    <row r="30" spans="2:7" x14ac:dyDescent="0.15">
      <c r="B30" t="s">
        <v>6</v>
      </c>
      <c r="C30" t="s">
        <v>33</v>
      </c>
      <c r="D30" t="s">
        <v>46</v>
      </c>
      <c r="E30" s="1">
        <v>129967</v>
      </c>
      <c r="F30" s="1">
        <v>123979</v>
      </c>
      <c r="G30" s="4">
        <v>1.048</v>
      </c>
    </row>
    <row r="31" spans="2:7" x14ac:dyDescent="0.15">
      <c r="B31" t="s">
        <v>6</v>
      </c>
      <c r="C31" t="s">
        <v>34</v>
      </c>
      <c r="D31" t="s">
        <v>43</v>
      </c>
      <c r="E31" s="1">
        <v>38040</v>
      </c>
      <c r="F31" s="1">
        <v>39661</v>
      </c>
      <c r="G31" s="4">
        <v>0.95899999999999996</v>
      </c>
    </row>
    <row r="32" spans="2:7" x14ac:dyDescent="0.15">
      <c r="B32" t="s">
        <v>6</v>
      </c>
      <c r="C32" t="s">
        <v>34</v>
      </c>
      <c r="D32" t="s">
        <v>44</v>
      </c>
      <c r="E32" s="1">
        <v>113199</v>
      </c>
      <c r="F32" s="1">
        <v>114683</v>
      </c>
      <c r="G32" s="4">
        <v>0.98699999999999999</v>
      </c>
    </row>
    <row r="33" spans="2:7" x14ac:dyDescent="0.15">
      <c r="B33" t="s">
        <v>6</v>
      </c>
      <c r="C33" t="s">
        <v>34</v>
      </c>
      <c r="D33" t="s">
        <v>45</v>
      </c>
      <c r="E33" s="1">
        <v>102868</v>
      </c>
      <c r="F33" s="1">
        <v>101181</v>
      </c>
      <c r="G33" s="4">
        <v>1.0169999999999999</v>
      </c>
    </row>
    <row r="34" spans="2:7" x14ac:dyDescent="0.15">
      <c r="B34" t="s">
        <v>6</v>
      </c>
      <c r="C34" t="s">
        <v>34</v>
      </c>
      <c r="D34" t="s">
        <v>46</v>
      </c>
      <c r="E34" s="1">
        <v>56816</v>
      </c>
      <c r="F34" s="1">
        <v>53649</v>
      </c>
      <c r="G34" s="4">
        <v>1.0589999999999999</v>
      </c>
    </row>
    <row r="35" spans="2:7" x14ac:dyDescent="0.15">
      <c r="B35" t="s">
        <v>6</v>
      </c>
      <c r="C35" t="s">
        <v>35</v>
      </c>
      <c r="D35" t="s">
        <v>43</v>
      </c>
      <c r="E35" s="1">
        <v>68419</v>
      </c>
      <c r="F35" s="1">
        <v>71640</v>
      </c>
      <c r="G35" s="4">
        <v>0.95499999999999996</v>
      </c>
    </row>
    <row r="36" spans="2:7" x14ac:dyDescent="0.15">
      <c r="B36" t="s">
        <v>6</v>
      </c>
      <c r="C36" t="s">
        <v>35</v>
      </c>
      <c r="D36" t="s">
        <v>44</v>
      </c>
      <c r="E36" s="1">
        <v>159626</v>
      </c>
      <c r="F36" s="1">
        <v>162409</v>
      </c>
      <c r="G36" s="4">
        <v>0.98299999999999998</v>
      </c>
    </row>
    <row r="37" spans="2:7" x14ac:dyDescent="0.15">
      <c r="B37" t="s">
        <v>6</v>
      </c>
      <c r="C37" t="s">
        <v>35</v>
      </c>
      <c r="D37" t="s">
        <v>45</v>
      </c>
      <c r="E37" s="1">
        <v>112172</v>
      </c>
      <c r="F37" s="1">
        <v>110804</v>
      </c>
      <c r="G37" s="4">
        <v>1.012</v>
      </c>
    </row>
    <row r="38" spans="2:7" x14ac:dyDescent="0.15">
      <c r="B38" t="s">
        <v>6</v>
      </c>
      <c r="C38" t="s">
        <v>35</v>
      </c>
      <c r="D38" t="s">
        <v>46</v>
      </c>
      <c r="E38" s="1">
        <v>55797</v>
      </c>
      <c r="F38" s="1">
        <v>52912</v>
      </c>
      <c r="G38" s="4">
        <v>1.0549999999999999</v>
      </c>
    </row>
    <row r="39" spans="2:7" x14ac:dyDescent="0.15">
      <c r="B39" t="s">
        <v>6</v>
      </c>
      <c r="C39" t="s">
        <v>36</v>
      </c>
      <c r="D39" t="s">
        <v>43</v>
      </c>
      <c r="E39" s="1">
        <v>22359</v>
      </c>
      <c r="F39" s="1">
        <v>23186</v>
      </c>
      <c r="G39" s="4">
        <v>0.96399999999999997</v>
      </c>
    </row>
    <row r="40" spans="2:7" x14ac:dyDescent="0.15">
      <c r="B40" t="s">
        <v>6</v>
      </c>
      <c r="C40" t="s">
        <v>36</v>
      </c>
      <c r="D40" t="s">
        <v>44</v>
      </c>
      <c r="E40" s="1">
        <v>51078</v>
      </c>
      <c r="F40" s="1">
        <v>51468</v>
      </c>
      <c r="G40" s="4">
        <v>0.99199999999999999</v>
      </c>
    </row>
    <row r="41" spans="2:7" x14ac:dyDescent="0.15">
      <c r="B41" t="s">
        <v>6</v>
      </c>
      <c r="C41" t="s">
        <v>36</v>
      </c>
      <c r="D41" t="s">
        <v>45</v>
      </c>
      <c r="E41" s="1">
        <v>37116</v>
      </c>
      <c r="F41" s="1">
        <v>36310</v>
      </c>
      <c r="G41" s="4">
        <v>1.022</v>
      </c>
    </row>
    <row r="42" spans="2:7" x14ac:dyDescent="0.15">
      <c r="B42" t="s">
        <v>6</v>
      </c>
      <c r="C42" t="s">
        <v>36</v>
      </c>
      <c r="D42" t="s">
        <v>46</v>
      </c>
      <c r="E42" s="1">
        <v>18700</v>
      </c>
      <c r="F42" s="1">
        <v>17562</v>
      </c>
      <c r="G42" s="4">
        <v>1.0649999999999999</v>
      </c>
    </row>
    <row r="43" spans="2:7" x14ac:dyDescent="0.15">
      <c r="B43" t="s">
        <v>11</v>
      </c>
      <c r="C43" t="s">
        <v>27</v>
      </c>
      <c r="D43" t="s">
        <v>43</v>
      </c>
      <c r="E43" s="1">
        <v>2819352</v>
      </c>
      <c r="F43" s="1">
        <v>2869408</v>
      </c>
      <c r="G43" s="4">
        <v>0.98299999999999998</v>
      </c>
    </row>
    <row r="44" spans="2:7" x14ac:dyDescent="0.15">
      <c r="B44" t="s">
        <v>11</v>
      </c>
      <c r="C44" t="s">
        <v>27</v>
      </c>
      <c r="D44" t="s">
        <v>44</v>
      </c>
      <c r="E44" s="1">
        <v>3921937</v>
      </c>
      <c r="F44" s="1">
        <v>3952048</v>
      </c>
      <c r="G44" s="4">
        <v>0.99199999999999999</v>
      </c>
    </row>
    <row r="45" spans="2:7" x14ac:dyDescent="0.15">
      <c r="B45" t="s">
        <v>11</v>
      </c>
      <c r="C45" t="s">
        <v>27</v>
      </c>
      <c r="D45" t="s">
        <v>45</v>
      </c>
      <c r="E45" s="1">
        <v>1272207</v>
      </c>
      <c r="F45" s="1">
        <v>1269155</v>
      </c>
      <c r="G45" s="4">
        <v>1.002</v>
      </c>
    </row>
    <row r="46" spans="2:7" x14ac:dyDescent="0.15">
      <c r="B46" t="s">
        <v>11</v>
      </c>
      <c r="C46" t="s">
        <v>27</v>
      </c>
      <c r="D46" t="s">
        <v>46</v>
      </c>
      <c r="E46" s="1">
        <v>354966</v>
      </c>
      <c r="F46" s="1">
        <v>350537</v>
      </c>
      <c r="G46" s="4">
        <v>1.0129999999999999</v>
      </c>
    </row>
    <row r="47" spans="2:7" x14ac:dyDescent="0.15">
      <c r="B47" t="s">
        <v>11</v>
      </c>
      <c r="C47" t="s">
        <v>28</v>
      </c>
      <c r="D47" t="s">
        <v>43</v>
      </c>
      <c r="E47" s="1">
        <v>2650555</v>
      </c>
      <c r="F47" s="1">
        <v>2643047</v>
      </c>
      <c r="G47" s="4">
        <v>1.0029999999999999</v>
      </c>
    </row>
    <row r="48" spans="2:7" x14ac:dyDescent="0.15">
      <c r="B48" t="s">
        <v>11</v>
      </c>
      <c r="C48" t="s">
        <v>28</v>
      </c>
      <c r="D48" t="s">
        <v>44</v>
      </c>
      <c r="E48" s="1">
        <v>3195480</v>
      </c>
      <c r="F48" s="1">
        <v>3154880</v>
      </c>
      <c r="G48" s="4">
        <v>1.0129999999999999</v>
      </c>
    </row>
    <row r="49" spans="2:7" x14ac:dyDescent="0.15">
      <c r="B49" t="s">
        <v>11</v>
      </c>
      <c r="C49" t="s">
        <v>28</v>
      </c>
      <c r="D49" t="s">
        <v>45</v>
      </c>
      <c r="E49" s="1">
        <v>1055619</v>
      </c>
      <c r="F49" s="1">
        <v>1031785</v>
      </c>
      <c r="G49" s="4">
        <v>1.0229999999999999</v>
      </c>
    </row>
    <row r="50" spans="2:7" x14ac:dyDescent="0.15">
      <c r="B50" t="s">
        <v>11</v>
      </c>
      <c r="C50" t="s">
        <v>28</v>
      </c>
      <c r="D50" t="s">
        <v>46</v>
      </c>
      <c r="E50" s="1">
        <v>281915</v>
      </c>
      <c r="F50" s="1">
        <v>272766</v>
      </c>
      <c r="G50" s="4">
        <v>1.034</v>
      </c>
    </row>
    <row r="51" spans="2:7" x14ac:dyDescent="0.15">
      <c r="B51" t="s">
        <v>11</v>
      </c>
      <c r="C51" t="s">
        <v>29</v>
      </c>
      <c r="D51" t="s">
        <v>43</v>
      </c>
      <c r="E51" s="1">
        <v>1439139</v>
      </c>
      <c r="F51" s="1">
        <v>1467092</v>
      </c>
      <c r="G51" s="4">
        <v>0.98099999999999998</v>
      </c>
    </row>
    <row r="52" spans="2:7" x14ac:dyDescent="0.15">
      <c r="B52" t="s">
        <v>11</v>
      </c>
      <c r="C52" t="s">
        <v>29</v>
      </c>
      <c r="D52" t="s">
        <v>44</v>
      </c>
      <c r="E52" s="1">
        <v>2211572</v>
      </c>
      <c r="F52" s="1">
        <v>2232205</v>
      </c>
      <c r="G52" s="4">
        <v>0.99099999999999999</v>
      </c>
    </row>
    <row r="53" spans="2:7" x14ac:dyDescent="0.15">
      <c r="B53" t="s">
        <v>11</v>
      </c>
      <c r="C53" t="s">
        <v>29</v>
      </c>
      <c r="D53" t="s">
        <v>45</v>
      </c>
      <c r="E53" s="1">
        <v>958947</v>
      </c>
      <c r="F53" s="1">
        <v>958215</v>
      </c>
      <c r="G53" s="4">
        <v>1.0009999999999999</v>
      </c>
    </row>
    <row r="54" spans="2:7" x14ac:dyDescent="0.15">
      <c r="B54" t="s">
        <v>11</v>
      </c>
      <c r="C54" t="s">
        <v>29</v>
      </c>
      <c r="D54" t="s">
        <v>46</v>
      </c>
      <c r="E54" s="1">
        <v>399939</v>
      </c>
      <c r="F54" s="1">
        <v>395597</v>
      </c>
      <c r="G54" s="4">
        <v>1.0109999999999999</v>
      </c>
    </row>
    <row r="55" spans="2:7" x14ac:dyDescent="0.15">
      <c r="B55" t="s">
        <v>11</v>
      </c>
      <c r="C55" t="s">
        <v>30</v>
      </c>
      <c r="D55" t="s">
        <v>43</v>
      </c>
      <c r="E55" s="1">
        <v>1168034</v>
      </c>
      <c r="F55" s="1">
        <v>1166324</v>
      </c>
      <c r="G55" s="4">
        <v>1.0009999999999999</v>
      </c>
    </row>
    <row r="56" spans="2:7" x14ac:dyDescent="0.15">
      <c r="B56" t="s">
        <v>11</v>
      </c>
      <c r="C56" t="s">
        <v>30</v>
      </c>
      <c r="D56" t="s">
        <v>44</v>
      </c>
      <c r="E56" s="1">
        <v>1456648</v>
      </c>
      <c r="F56" s="1">
        <v>1440115</v>
      </c>
      <c r="G56" s="4">
        <v>1.0109999999999999</v>
      </c>
    </row>
    <row r="57" spans="2:7" x14ac:dyDescent="0.15">
      <c r="B57" t="s">
        <v>11</v>
      </c>
      <c r="C57" t="s">
        <v>30</v>
      </c>
      <c r="D57" t="s">
        <v>45</v>
      </c>
      <c r="E57" s="1">
        <v>643625</v>
      </c>
      <c r="F57" s="1">
        <v>629956</v>
      </c>
      <c r="G57" s="4">
        <v>1.022</v>
      </c>
    </row>
    <row r="58" spans="2:7" x14ac:dyDescent="0.15">
      <c r="B58" t="s">
        <v>11</v>
      </c>
      <c r="C58" t="s">
        <v>30</v>
      </c>
      <c r="D58" t="s">
        <v>46</v>
      </c>
      <c r="E58" s="1">
        <v>251189</v>
      </c>
      <c r="F58" s="1">
        <v>243371</v>
      </c>
      <c r="G58" s="4">
        <v>1.032</v>
      </c>
    </row>
    <row r="59" spans="2:7" x14ac:dyDescent="0.15">
      <c r="B59" t="s">
        <v>11</v>
      </c>
      <c r="C59" t="s">
        <v>31</v>
      </c>
      <c r="D59" t="s">
        <v>43</v>
      </c>
      <c r="E59" s="1">
        <v>884321</v>
      </c>
      <c r="F59" s="1">
        <v>903492</v>
      </c>
      <c r="G59" s="4">
        <v>0.97899999999999998</v>
      </c>
    </row>
    <row r="60" spans="2:7" x14ac:dyDescent="0.15">
      <c r="B60" t="s">
        <v>11</v>
      </c>
      <c r="C60" t="s">
        <v>31</v>
      </c>
      <c r="D60" t="s">
        <v>44</v>
      </c>
      <c r="E60" s="1">
        <v>1478338</v>
      </c>
      <c r="F60" s="1">
        <v>1495431</v>
      </c>
      <c r="G60" s="4">
        <v>0.98899999999999999</v>
      </c>
    </row>
    <row r="61" spans="2:7" x14ac:dyDescent="0.15">
      <c r="B61" t="s">
        <v>11</v>
      </c>
      <c r="C61" t="s">
        <v>31</v>
      </c>
      <c r="D61" t="s">
        <v>45</v>
      </c>
      <c r="E61" s="1">
        <v>1096964</v>
      </c>
      <c r="F61" s="1">
        <v>1098551</v>
      </c>
      <c r="G61" s="4">
        <v>0.999</v>
      </c>
    </row>
    <row r="62" spans="2:7" x14ac:dyDescent="0.15">
      <c r="B62" t="s">
        <v>11</v>
      </c>
      <c r="C62" t="s">
        <v>31</v>
      </c>
      <c r="D62" t="s">
        <v>46</v>
      </c>
      <c r="E62" s="1">
        <v>449583</v>
      </c>
      <c r="F62" s="1">
        <v>445686</v>
      </c>
      <c r="G62" s="4">
        <v>1.0089999999999999</v>
      </c>
    </row>
    <row r="63" spans="2:7" x14ac:dyDescent="0.15">
      <c r="B63" t="s">
        <v>11</v>
      </c>
      <c r="C63" t="s">
        <v>32</v>
      </c>
      <c r="D63" t="s">
        <v>43</v>
      </c>
      <c r="E63" s="1">
        <v>458823</v>
      </c>
      <c r="F63" s="1">
        <v>464039</v>
      </c>
      <c r="G63" s="4">
        <v>0.98899999999999999</v>
      </c>
    </row>
    <row r="64" spans="2:7" x14ac:dyDescent="0.15">
      <c r="B64" t="s">
        <v>11</v>
      </c>
      <c r="C64" t="s">
        <v>32</v>
      </c>
      <c r="D64" t="s">
        <v>44</v>
      </c>
      <c r="E64" s="1">
        <v>793949</v>
      </c>
      <c r="F64" s="1">
        <v>795023</v>
      </c>
      <c r="G64" s="4">
        <v>0.999</v>
      </c>
    </row>
    <row r="65" spans="2:7" x14ac:dyDescent="0.15">
      <c r="B65" t="s">
        <v>11</v>
      </c>
      <c r="C65" t="s">
        <v>32</v>
      </c>
      <c r="D65" t="s">
        <v>45</v>
      </c>
      <c r="E65" s="1">
        <v>581942</v>
      </c>
      <c r="F65" s="1">
        <v>576903</v>
      </c>
      <c r="G65" s="4">
        <v>1.0089999999999999</v>
      </c>
    </row>
    <row r="66" spans="2:7" x14ac:dyDescent="0.15">
      <c r="B66" t="s">
        <v>11</v>
      </c>
      <c r="C66" t="s">
        <v>32</v>
      </c>
      <c r="D66" t="s">
        <v>46</v>
      </c>
      <c r="E66" s="1">
        <v>221177</v>
      </c>
      <c r="F66" s="1">
        <v>217047</v>
      </c>
      <c r="G66" s="4">
        <v>1.0189999999999999</v>
      </c>
    </row>
    <row r="67" spans="2:7" x14ac:dyDescent="0.15">
      <c r="B67" t="s">
        <v>11</v>
      </c>
      <c r="C67" t="s">
        <v>33</v>
      </c>
      <c r="D67" t="s">
        <v>43</v>
      </c>
      <c r="E67" s="1">
        <v>103026</v>
      </c>
      <c r="F67" s="1">
        <v>103512</v>
      </c>
      <c r="G67" s="4">
        <v>0.995</v>
      </c>
    </row>
    <row r="68" spans="2:7" x14ac:dyDescent="0.15">
      <c r="B68" t="s">
        <v>11</v>
      </c>
      <c r="C68" t="s">
        <v>33</v>
      </c>
      <c r="D68" t="s">
        <v>44</v>
      </c>
      <c r="E68" s="1">
        <v>305381</v>
      </c>
      <c r="F68" s="1">
        <v>303784</v>
      </c>
      <c r="G68" s="4">
        <v>1.0049999999999999</v>
      </c>
    </row>
    <row r="69" spans="2:7" x14ac:dyDescent="0.15">
      <c r="B69" t="s">
        <v>11</v>
      </c>
      <c r="C69" t="s">
        <v>33</v>
      </c>
      <c r="D69" t="s">
        <v>45</v>
      </c>
      <c r="E69" s="1">
        <v>308263</v>
      </c>
      <c r="F69" s="1">
        <v>303584</v>
      </c>
      <c r="G69" s="4">
        <v>1.0149999999999999</v>
      </c>
    </row>
    <row r="70" spans="2:7" x14ac:dyDescent="0.15">
      <c r="B70" t="s">
        <v>11</v>
      </c>
      <c r="C70" t="s">
        <v>33</v>
      </c>
      <c r="D70" t="s">
        <v>46</v>
      </c>
      <c r="E70" s="1">
        <v>166149</v>
      </c>
      <c r="F70" s="1">
        <v>161974</v>
      </c>
      <c r="G70" s="4">
        <v>1.026</v>
      </c>
    </row>
    <row r="71" spans="2:7" x14ac:dyDescent="0.15">
      <c r="B71" t="s">
        <v>11</v>
      </c>
      <c r="C71" t="s">
        <v>34</v>
      </c>
      <c r="D71" t="s">
        <v>43</v>
      </c>
      <c r="E71" s="1">
        <v>44313</v>
      </c>
      <c r="F71" s="1">
        <v>44083</v>
      </c>
      <c r="G71" s="4">
        <v>1.0049999999999999</v>
      </c>
    </row>
    <row r="72" spans="2:7" x14ac:dyDescent="0.15">
      <c r="B72" t="s">
        <v>11</v>
      </c>
      <c r="C72" t="s">
        <v>34</v>
      </c>
      <c r="D72" t="s">
        <v>44</v>
      </c>
      <c r="E72" s="1">
        <v>132828</v>
      </c>
      <c r="F72" s="1">
        <v>130830</v>
      </c>
      <c r="G72" s="4">
        <v>1.0149999999999999</v>
      </c>
    </row>
    <row r="73" spans="2:7" x14ac:dyDescent="0.15">
      <c r="B73" t="s">
        <v>11</v>
      </c>
      <c r="C73" t="s">
        <v>34</v>
      </c>
      <c r="D73" t="s">
        <v>45</v>
      </c>
      <c r="E73" s="1">
        <v>125491</v>
      </c>
      <c r="F73" s="1">
        <v>122367</v>
      </c>
      <c r="G73" s="4">
        <v>1.026</v>
      </c>
    </row>
    <row r="74" spans="2:7" x14ac:dyDescent="0.15">
      <c r="B74" t="s">
        <v>11</v>
      </c>
      <c r="C74" t="s">
        <v>34</v>
      </c>
      <c r="D74" t="s">
        <v>46</v>
      </c>
      <c r="E74" s="1">
        <v>72480</v>
      </c>
      <c r="F74" s="1">
        <v>69962</v>
      </c>
      <c r="G74" s="4">
        <v>1.036</v>
      </c>
    </row>
    <row r="75" spans="2:7" x14ac:dyDescent="0.15">
      <c r="B75" t="s">
        <v>11</v>
      </c>
      <c r="C75" t="s">
        <v>35</v>
      </c>
      <c r="D75" t="s">
        <v>43</v>
      </c>
      <c r="E75" s="1">
        <v>79710</v>
      </c>
      <c r="F75" s="1">
        <v>79934</v>
      </c>
      <c r="G75" s="4">
        <v>0.997</v>
      </c>
    </row>
    <row r="76" spans="2:7" x14ac:dyDescent="0.15">
      <c r="B76" t="s">
        <v>11</v>
      </c>
      <c r="C76" t="s">
        <v>35</v>
      </c>
      <c r="D76" t="s">
        <v>44</v>
      </c>
      <c r="E76" s="1">
        <v>187367</v>
      </c>
      <c r="F76" s="1">
        <v>186034</v>
      </c>
      <c r="G76" s="4">
        <v>1.0069999999999999</v>
      </c>
    </row>
    <row r="77" spans="2:7" x14ac:dyDescent="0.15">
      <c r="B77" t="s">
        <v>11</v>
      </c>
      <c r="C77" t="s">
        <v>35</v>
      </c>
      <c r="D77" t="s">
        <v>45</v>
      </c>
      <c r="E77" s="1">
        <v>136672</v>
      </c>
      <c r="F77" s="1">
        <v>134342</v>
      </c>
      <c r="G77" s="4">
        <v>1.0169999999999999</v>
      </c>
    </row>
    <row r="78" spans="2:7" x14ac:dyDescent="0.15">
      <c r="B78" t="s">
        <v>11</v>
      </c>
      <c r="C78" t="s">
        <v>35</v>
      </c>
      <c r="D78" t="s">
        <v>46</v>
      </c>
      <c r="E78" s="1">
        <v>71246</v>
      </c>
      <c r="F78" s="1">
        <v>69324</v>
      </c>
      <c r="G78" s="4">
        <v>1.028</v>
      </c>
    </row>
    <row r="79" spans="2:7" x14ac:dyDescent="0.15">
      <c r="B79" t="s">
        <v>11</v>
      </c>
      <c r="C79" t="s">
        <v>36</v>
      </c>
      <c r="D79" t="s">
        <v>43</v>
      </c>
      <c r="E79" s="1">
        <v>26050</v>
      </c>
      <c r="F79" s="1">
        <v>25870</v>
      </c>
      <c r="G79" s="4">
        <v>1.0069999999999999</v>
      </c>
    </row>
    <row r="80" spans="2:7" x14ac:dyDescent="0.15">
      <c r="B80" t="s">
        <v>11</v>
      </c>
      <c r="C80" t="s">
        <v>36</v>
      </c>
      <c r="D80" t="s">
        <v>44</v>
      </c>
      <c r="E80" s="1">
        <v>59992</v>
      </c>
      <c r="F80" s="1">
        <v>58988</v>
      </c>
      <c r="G80" s="4">
        <v>1.0169999999999999</v>
      </c>
    </row>
    <row r="81" spans="2:7" x14ac:dyDescent="0.15">
      <c r="B81" t="s">
        <v>11</v>
      </c>
      <c r="C81" t="s">
        <v>36</v>
      </c>
      <c r="D81" t="s">
        <v>45</v>
      </c>
      <c r="E81" s="1">
        <v>45240</v>
      </c>
      <c r="F81" s="1">
        <v>44038</v>
      </c>
      <c r="G81" s="4">
        <v>1.0269999999999999</v>
      </c>
    </row>
    <row r="82" spans="2:7" x14ac:dyDescent="0.15">
      <c r="B82" t="s">
        <v>11</v>
      </c>
      <c r="C82" t="s">
        <v>36</v>
      </c>
      <c r="D82" t="s">
        <v>46</v>
      </c>
      <c r="E82" s="1">
        <v>23895</v>
      </c>
      <c r="F82" s="1">
        <v>23025</v>
      </c>
      <c r="G82" s="4">
        <v>1.038</v>
      </c>
    </row>
    <row r="83" spans="2:7" x14ac:dyDescent="0.15">
      <c r="B83" t="s">
        <v>16</v>
      </c>
      <c r="C83" t="s">
        <v>27</v>
      </c>
      <c r="D83" t="s">
        <v>43</v>
      </c>
      <c r="E83" s="1">
        <v>3126511</v>
      </c>
      <c r="F83" s="1">
        <v>3676723</v>
      </c>
      <c r="G83" s="4">
        <v>0.85</v>
      </c>
    </row>
    <row r="84" spans="2:7" x14ac:dyDescent="0.15">
      <c r="B84" t="s">
        <v>16</v>
      </c>
      <c r="C84" t="s">
        <v>27</v>
      </c>
      <c r="D84" t="s">
        <v>44</v>
      </c>
      <c r="E84" s="1">
        <v>4359908</v>
      </c>
      <c r="F84" s="1">
        <v>4894124</v>
      </c>
      <c r="G84" s="4">
        <v>0.89100000000000001</v>
      </c>
    </row>
    <row r="85" spans="2:7" x14ac:dyDescent="0.15">
      <c r="B85" t="s">
        <v>16</v>
      </c>
      <c r="C85" t="s">
        <v>27</v>
      </c>
      <c r="D85" t="s">
        <v>45</v>
      </c>
      <c r="E85" s="1">
        <v>1640647</v>
      </c>
      <c r="F85" s="1">
        <v>1718896</v>
      </c>
      <c r="G85" s="4">
        <v>0.95399999999999996</v>
      </c>
    </row>
    <row r="86" spans="2:7" x14ac:dyDescent="0.15">
      <c r="B86" t="s">
        <v>16</v>
      </c>
      <c r="C86" t="s">
        <v>27</v>
      </c>
      <c r="D86" t="s">
        <v>46</v>
      </c>
      <c r="E86" s="1">
        <v>496793</v>
      </c>
      <c r="F86" s="1">
        <v>477998</v>
      </c>
      <c r="G86" s="4">
        <v>1.0389999999999999</v>
      </c>
    </row>
    <row r="87" spans="2:7" x14ac:dyDescent="0.15">
      <c r="B87" t="s">
        <v>16</v>
      </c>
      <c r="C87" t="s">
        <v>28</v>
      </c>
      <c r="D87" t="s">
        <v>43</v>
      </c>
      <c r="E87" s="1">
        <v>2878212</v>
      </c>
      <c r="F87" s="1">
        <v>3200388</v>
      </c>
      <c r="G87" s="4">
        <v>0.89900000000000002</v>
      </c>
    </row>
    <row r="88" spans="2:7" x14ac:dyDescent="0.15">
      <c r="B88" t="s">
        <v>16</v>
      </c>
      <c r="C88" t="s">
        <v>28</v>
      </c>
      <c r="D88" t="s">
        <v>44</v>
      </c>
      <c r="E88" s="1">
        <v>3576185</v>
      </c>
      <c r="F88" s="1">
        <v>3795739</v>
      </c>
      <c r="G88" s="4">
        <v>0.94199999999999995</v>
      </c>
    </row>
    <row r="89" spans="2:7" x14ac:dyDescent="0.15">
      <c r="B89" t="s">
        <v>16</v>
      </c>
      <c r="C89" t="s">
        <v>28</v>
      </c>
      <c r="D89" t="s">
        <v>45</v>
      </c>
      <c r="E89" s="1">
        <v>1392001</v>
      </c>
      <c r="F89" s="1">
        <v>1378963</v>
      </c>
      <c r="G89" s="4">
        <v>1.0089999999999999</v>
      </c>
    </row>
    <row r="90" spans="2:7" x14ac:dyDescent="0.15">
      <c r="B90" t="s">
        <v>16</v>
      </c>
      <c r="C90" t="s">
        <v>28</v>
      </c>
      <c r="D90" t="s">
        <v>46</v>
      </c>
      <c r="E90" s="1">
        <v>421486</v>
      </c>
      <c r="F90" s="1">
        <v>383454</v>
      </c>
      <c r="G90" s="4">
        <v>1.099</v>
      </c>
    </row>
    <row r="91" spans="2:7" x14ac:dyDescent="0.15">
      <c r="B91" t="s">
        <v>16</v>
      </c>
      <c r="C91" t="s">
        <v>29</v>
      </c>
      <c r="D91" t="s">
        <v>43</v>
      </c>
      <c r="E91" s="1">
        <v>1580330</v>
      </c>
      <c r="F91" s="1">
        <v>1902940</v>
      </c>
      <c r="G91" s="4">
        <v>0.83</v>
      </c>
    </row>
    <row r="92" spans="2:7" x14ac:dyDescent="0.15">
      <c r="B92" t="s">
        <v>16</v>
      </c>
      <c r="C92" t="s">
        <v>29</v>
      </c>
      <c r="D92" t="s">
        <v>44</v>
      </c>
      <c r="E92" s="1">
        <v>2477210</v>
      </c>
      <c r="F92" s="1">
        <v>2847324</v>
      </c>
      <c r="G92" s="4">
        <v>0.87</v>
      </c>
    </row>
    <row r="93" spans="2:7" x14ac:dyDescent="0.15">
      <c r="B93" t="s">
        <v>16</v>
      </c>
      <c r="C93" t="s">
        <v>29</v>
      </c>
      <c r="D93" t="s">
        <v>45</v>
      </c>
      <c r="E93" s="1">
        <v>1233610</v>
      </c>
      <c r="F93" s="1">
        <v>1323392</v>
      </c>
      <c r="G93" s="4">
        <v>0.93200000000000005</v>
      </c>
    </row>
    <row r="94" spans="2:7" x14ac:dyDescent="0.15">
      <c r="B94" t="s">
        <v>16</v>
      </c>
      <c r="C94" t="s">
        <v>29</v>
      </c>
      <c r="D94" t="s">
        <v>46</v>
      </c>
      <c r="E94" s="1">
        <v>589816</v>
      </c>
      <c r="F94" s="1">
        <v>581090</v>
      </c>
      <c r="G94" s="4">
        <v>1.0149999999999999</v>
      </c>
    </row>
    <row r="95" spans="2:7" x14ac:dyDescent="0.15">
      <c r="B95" t="s">
        <v>16</v>
      </c>
      <c r="C95" t="s">
        <v>30</v>
      </c>
      <c r="D95" t="s">
        <v>43</v>
      </c>
      <c r="E95" s="1">
        <v>1295805</v>
      </c>
      <c r="F95" s="1">
        <v>1500240</v>
      </c>
      <c r="G95" s="4">
        <v>0.86399999999999999</v>
      </c>
    </row>
    <row r="96" spans="2:7" x14ac:dyDescent="0.15">
      <c r="B96" t="s">
        <v>16</v>
      </c>
      <c r="C96" t="s">
        <v>30</v>
      </c>
      <c r="D96" t="s">
        <v>44</v>
      </c>
      <c r="E96" s="1">
        <v>1612254</v>
      </c>
      <c r="F96" s="1">
        <v>1781768</v>
      </c>
      <c r="G96" s="4">
        <v>0.90500000000000003</v>
      </c>
    </row>
    <row r="97" spans="2:7" x14ac:dyDescent="0.15">
      <c r="B97" t="s">
        <v>16</v>
      </c>
      <c r="C97" t="s">
        <v>30</v>
      </c>
      <c r="D97" t="s">
        <v>45</v>
      </c>
      <c r="E97" s="1">
        <v>801567</v>
      </c>
      <c r="F97" s="1">
        <v>826788</v>
      </c>
      <c r="G97" s="4">
        <v>0.96899999999999997</v>
      </c>
    </row>
    <row r="98" spans="2:7" x14ac:dyDescent="0.15">
      <c r="B98" t="s">
        <v>16</v>
      </c>
      <c r="C98" t="s">
        <v>30</v>
      </c>
      <c r="D98" t="s">
        <v>46</v>
      </c>
      <c r="E98" s="1">
        <v>336498</v>
      </c>
      <c r="F98" s="1">
        <v>318752</v>
      </c>
      <c r="G98" s="4">
        <v>1.056</v>
      </c>
    </row>
    <row r="99" spans="2:7" x14ac:dyDescent="0.15">
      <c r="B99" t="s">
        <v>16</v>
      </c>
      <c r="C99" t="s">
        <v>31</v>
      </c>
      <c r="D99" t="s">
        <v>43</v>
      </c>
      <c r="E99" s="1">
        <v>995062</v>
      </c>
      <c r="F99" s="1">
        <v>1215480</v>
      </c>
      <c r="G99" s="4">
        <v>0.81899999999999995</v>
      </c>
    </row>
    <row r="100" spans="2:7" x14ac:dyDescent="0.15">
      <c r="B100" t="s">
        <v>16</v>
      </c>
      <c r="C100" t="s">
        <v>31</v>
      </c>
      <c r="D100" t="s">
        <v>44</v>
      </c>
      <c r="E100" s="1">
        <v>1639158</v>
      </c>
      <c r="F100" s="1">
        <v>1911238</v>
      </c>
      <c r="G100" s="4">
        <v>0.85799999999999998</v>
      </c>
    </row>
    <row r="101" spans="2:7" x14ac:dyDescent="0.15">
      <c r="B101" t="s">
        <v>16</v>
      </c>
      <c r="C101" t="s">
        <v>31</v>
      </c>
      <c r="D101" t="s">
        <v>45</v>
      </c>
      <c r="E101" s="1">
        <v>1446828</v>
      </c>
      <c r="F101" s="1">
        <v>1574519</v>
      </c>
      <c r="G101" s="4">
        <v>0.91900000000000004</v>
      </c>
    </row>
    <row r="102" spans="2:7" x14ac:dyDescent="0.15">
      <c r="B102" t="s">
        <v>16</v>
      </c>
      <c r="C102" t="s">
        <v>31</v>
      </c>
      <c r="D102" t="s">
        <v>46</v>
      </c>
      <c r="E102" s="1">
        <v>629803</v>
      </c>
      <c r="F102" s="1">
        <v>629437</v>
      </c>
      <c r="G102" s="4">
        <v>1.0009999999999999</v>
      </c>
    </row>
    <row r="103" spans="2:7" x14ac:dyDescent="0.15">
      <c r="B103" t="s">
        <v>16</v>
      </c>
      <c r="C103" t="s">
        <v>32</v>
      </c>
      <c r="D103" t="s">
        <v>43</v>
      </c>
      <c r="E103" s="1">
        <v>505215</v>
      </c>
      <c r="F103" s="1">
        <v>596662</v>
      </c>
      <c r="G103" s="4">
        <v>0.84699999999999998</v>
      </c>
    </row>
    <row r="104" spans="2:7" x14ac:dyDescent="0.15">
      <c r="B104" t="s">
        <v>16</v>
      </c>
      <c r="C104" t="s">
        <v>32</v>
      </c>
      <c r="D104" t="s">
        <v>44</v>
      </c>
      <c r="E104" s="1">
        <v>892003</v>
      </c>
      <c r="F104" s="1">
        <v>1005578</v>
      </c>
      <c r="G104" s="4">
        <v>0.88700000000000001</v>
      </c>
    </row>
    <row r="105" spans="2:7" x14ac:dyDescent="0.15">
      <c r="B105" t="s">
        <v>16</v>
      </c>
      <c r="C105" t="s">
        <v>32</v>
      </c>
      <c r="D105" t="s">
        <v>45</v>
      </c>
      <c r="E105" s="1">
        <v>739266</v>
      </c>
      <c r="F105" s="1">
        <v>777833</v>
      </c>
      <c r="G105" s="4">
        <v>0.95</v>
      </c>
    </row>
    <row r="106" spans="2:7" x14ac:dyDescent="0.15">
      <c r="B106" t="s">
        <v>16</v>
      </c>
      <c r="C106" t="s">
        <v>32</v>
      </c>
      <c r="D106" t="s">
        <v>46</v>
      </c>
      <c r="E106" s="1">
        <v>329598</v>
      </c>
      <c r="F106" s="1">
        <v>318483</v>
      </c>
      <c r="G106" s="4">
        <v>1.0349999999999999</v>
      </c>
    </row>
    <row r="107" spans="2:7" x14ac:dyDescent="0.15">
      <c r="B107" t="s">
        <v>16</v>
      </c>
      <c r="C107" t="s">
        <v>33</v>
      </c>
      <c r="D107" t="s">
        <v>43</v>
      </c>
      <c r="E107" s="1">
        <v>111156</v>
      </c>
      <c r="F107" s="1">
        <v>128419</v>
      </c>
      <c r="G107" s="4">
        <v>0.86599999999999999</v>
      </c>
    </row>
    <row r="108" spans="2:7" x14ac:dyDescent="0.15">
      <c r="B108" t="s">
        <v>16</v>
      </c>
      <c r="C108" t="s">
        <v>33</v>
      </c>
      <c r="D108" t="s">
        <v>44</v>
      </c>
      <c r="E108" s="1">
        <v>335404</v>
      </c>
      <c r="F108" s="1">
        <v>369882</v>
      </c>
      <c r="G108" s="4">
        <v>0.90700000000000003</v>
      </c>
    </row>
    <row r="109" spans="2:7" x14ac:dyDescent="0.15">
      <c r="B109" t="s">
        <v>16</v>
      </c>
      <c r="C109" t="s">
        <v>33</v>
      </c>
      <c r="D109" t="s">
        <v>45</v>
      </c>
      <c r="E109" s="1">
        <v>360552</v>
      </c>
      <c r="F109" s="1">
        <v>371107</v>
      </c>
      <c r="G109" s="4">
        <v>0.97199999999999998</v>
      </c>
    </row>
    <row r="110" spans="2:7" x14ac:dyDescent="0.15">
      <c r="B110" t="s">
        <v>16</v>
      </c>
      <c r="C110" t="s">
        <v>33</v>
      </c>
      <c r="D110" t="s">
        <v>46</v>
      </c>
      <c r="E110" s="1">
        <v>227276</v>
      </c>
      <c r="F110" s="1">
        <v>214833</v>
      </c>
      <c r="G110" s="4">
        <v>1.0580000000000001</v>
      </c>
    </row>
    <row r="111" spans="2:7" x14ac:dyDescent="0.15">
      <c r="B111" t="s">
        <v>16</v>
      </c>
      <c r="C111" t="s">
        <v>34</v>
      </c>
      <c r="D111" t="s">
        <v>43</v>
      </c>
      <c r="E111" s="1">
        <v>47810</v>
      </c>
      <c r="F111" s="1">
        <v>54508</v>
      </c>
      <c r="G111" s="4">
        <v>0.877</v>
      </c>
    </row>
    <row r="112" spans="2:7" x14ac:dyDescent="0.15">
      <c r="B112" t="s">
        <v>16</v>
      </c>
      <c r="C112" t="s">
        <v>34</v>
      </c>
      <c r="D112" t="s">
        <v>44</v>
      </c>
      <c r="E112" s="1">
        <v>144100</v>
      </c>
      <c r="F112" s="1">
        <v>156821</v>
      </c>
      <c r="G112" s="4">
        <v>0.91900000000000004</v>
      </c>
    </row>
    <row r="113" spans="2:7" x14ac:dyDescent="0.15">
      <c r="B113" t="s">
        <v>16</v>
      </c>
      <c r="C113" t="s">
        <v>34</v>
      </c>
      <c r="D113" t="s">
        <v>45</v>
      </c>
      <c r="E113" s="1">
        <v>140882</v>
      </c>
      <c r="F113" s="1">
        <v>143097</v>
      </c>
      <c r="G113" s="4">
        <v>0.98499999999999999</v>
      </c>
    </row>
    <row r="114" spans="2:7" x14ac:dyDescent="0.15">
      <c r="B114" t="s">
        <v>16</v>
      </c>
      <c r="C114" t="s">
        <v>34</v>
      </c>
      <c r="D114" t="s">
        <v>46</v>
      </c>
      <c r="E114" s="1">
        <v>88339</v>
      </c>
      <c r="F114" s="1">
        <v>82403</v>
      </c>
      <c r="G114" s="4">
        <v>1.0720000000000001</v>
      </c>
    </row>
    <row r="115" spans="2:7" x14ac:dyDescent="0.15">
      <c r="B115" t="s">
        <v>16</v>
      </c>
      <c r="C115" t="s">
        <v>35</v>
      </c>
      <c r="D115" t="s">
        <v>43</v>
      </c>
      <c r="E115" s="1">
        <v>86008</v>
      </c>
      <c r="F115" s="1">
        <v>97923</v>
      </c>
      <c r="G115" s="4">
        <v>0.878</v>
      </c>
    </row>
    <row r="116" spans="2:7" x14ac:dyDescent="0.15">
      <c r="B116" t="s">
        <v>16</v>
      </c>
      <c r="C116" t="s">
        <v>35</v>
      </c>
      <c r="D116" t="s">
        <v>44</v>
      </c>
      <c r="E116" s="1">
        <v>205871</v>
      </c>
      <c r="F116" s="1">
        <v>223737</v>
      </c>
      <c r="G116" s="4">
        <v>0.92</v>
      </c>
    </row>
    <row r="117" spans="2:7" x14ac:dyDescent="0.15">
      <c r="B117" t="s">
        <v>16</v>
      </c>
      <c r="C117" t="s">
        <v>35</v>
      </c>
      <c r="D117" t="s">
        <v>45</v>
      </c>
      <c r="E117" s="1">
        <v>155789</v>
      </c>
      <c r="F117" s="1">
        <v>158022</v>
      </c>
      <c r="G117" s="4">
        <v>0.98599999999999999</v>
      </c>
    </row>
    <row r="118" spans="2:7" x14ac:dyDescent="0.15">
      <c r="B118" t="s">
        <v>16</v>
      </c>
      <c r="C118" t="s">
        <v>35</v>
      </c>
      <c r="D118" t="s">
        <v>46</v>
      </c>
      <c r="E118" s="1">
        <v>89466</v>
      </c>
      <c r="F118" s="1">
        <v>83340</v>
      </c>
      <c r="G118" s="4">
        <v>1.0740000000000001</v>
      </c>
    </row>
    <row r="119" spans="2:7" x14ac:dyDescent="0.15">
      <c r="B119" t="s">
        <v>16</v>
      </c>
      <c r="C119" t="s">
        <v>36</v>
      </c>
      <c r="D119" t="s">
        <v>43</v>
      </c>
      <c r="E119" s="1">
        <v>28110</v>
      </c>
      <c r="F119" s="1">
        <v>31653</v>
      </c>
      <c r="G119" s="4">
        <v>0.88800000000000001</v>
      </c>
    </row>
    <row r="120" spans="2:7" x14ac:dyDescent="0.15">
      <c r="B120" t="s">
        <v>16</v>
      </c>
      <c r="C120" t="s">
        <v>36</v>
      </c>
      <c r="D120" t="s">
        <v>44</v>
      </c>
      <c r="E120" s="1">
        <v>65127</v>
      </c>
      <c r="F120" s="1">
        <v>70002</v>
      </c>
      <c r="G120" s="4">
        <v>0.93</v>
      </c>
    </row>
    <row r="121" spans="2:7" x14ac:dyDescent="0.15">
      <c r="B121" t="s">
        <v>16</v>
      </c>
      <c r="C121" t="s">
        <v>36</v>
      </c>
      <c r="D121" t="s">
        <v>45</v>
      </c>
      <c r="E121" s="1">
        <v>50766</v>
      </c>
      <c r="F121" s="1">
        <v>50928</v>
      </c>
      <c r="G121" s="4">
        <v>0.997</v>
      </c>
    </row>
    <row r="122" spans="2:7" x14ac:dyDescent="0.15">
      <c r="B122" t="s">
        <v>16</v>
      </c>
      <c r="C122" t="s">
        <v>36</v>
      </c>
      <c r="D122" t="s">
        <v>46</v>
      </c>
      <c r="E122" s="1">
        <v>27696</v>
      </c>
      <c r="F122" s="1">
        <v>25516</v>
      </c>
      <c r="G122" s="4">
        <v>1.085</v>
      </c>
    </row>
    <row r="123" spans="2:7" x14ac:dyDescent="0.15">
      <c r="B123" t="s">
        <v>21</v>
      </c>
      <c r="C123" t="s">
        <v>27</v>
      </c>
      <c r="D123" t="s">
        <v>43</v>
      </c>
      <c r="E123" s="1">
        <v>4428778</v>
      </c>
      <c r="F123" s="1">
        <v>4753665</v>
      </c>
      <c r="G123" s="4">
        <v>0.93200000000000005</v>
      </c>
    </row>
    <row r="124" spans="2:7" x14ac:dyDescent="0.15">
      <c r="B124" t="s">
        <v>21</v>
      </c>
      <c r="C124" t="s">
        <v>27</v>
      </c>
      <c r="D124" t="s">
        <v>44</v>
      </c>
      <c r="E124" s="1">
        <v>6220668</v>
      </c>
      <c r="F124" s="1">
        <v>6548600</v>
      </c>
      <c r="G124" s="4">
        <v>0.95</v>
      </c>
    </row>
    <row r="125" spans="2:7" x14ac:dyDescent="0.15">
      <c r="B125" t="s">
        <v>21</v>
      </c>
      <c r="C125" t="s">
        <v>27</v>
      </c>
      <c r="D125" t="s">
        <v>45</v>
      </c>
      <c r="E125" s="1">
        <v>2549861</v>
      </c>
      <c r="F125" s="1">
        <v>2605331</v>
      </c>
      <c r="G125" s="4">
        <v>0.97899999999999998</v>
      </c>
    </row>
    <row r="126" spans="2:7" x14ac:dyDescent="0.15">
      <c r="B126" t="s">
        <v>21</v>
      </c>
      <c r="C126" t="s">
        <v>27</v>
      </c>
      <c r="D126" t="s">
        <v>46</v>
      </c>
      <c r="E126" s="1">
        <v>951394</v>
      </c>
      <c r="F126" s="1">
        <v>952453</v>
      </c>
      <c r="G126" s="4">
        <v>0.999</v>
      </c>
    </row>
    <row r="127" spans="2:7" x14ac:dyDescent="0.15">
      <c r="B127" t="s">
        <v>21</v>
      </c>
      <c r="C127" t="s">
        <v>28</v>
      </c>
      <c r="D127" t="s">
        <v>43</v>
      </c>
      <c r="E127" s="1">
        <v>4079496</v>
      </c>
      <c r="F127" s="1">
        <v>4292002</v>
      </c>
      <c r="G127" s="4">
        <v>0.95</v>
      </c>
    </row>
    <row r="128" spans="2:7" x14ac:dyDescent="0.15">
      <c r="B128" t="s">
        <v>21</v>
      </c>
      <c r="C128" t="s">
        <v>28</v>
      </c>
      <c r="D128" t="s">
        <v>44</v>
      </c>
      <c r="E128" s="1">
        <v>5089870</v>
      </c>
      <c r="F128" s="1">
        <v>5252026</v>
      </c>
      <c r="G128" s="4">
        <v>0.96899999999999997</v>
      </c>
    </row>
    <row r="129" spans="2:7" x14ac:dyDescent="0.15">
      <c r="B129" t="s">
        <v>21</v>
      </c>
      <c r="C129" t="s">
        <v>28</v>
      </c>
      <c r="D129" t="s">
        <v>45</v>
      </c>
      <c r="E129" s="1">
        <v>2177011</v>
      </c>
      <c r="F129" s="1">
        <v>2180298</v>
      </c>
      <c r="G129" s="4">
        <v>0.998</v>
      </c>
    </row>
    <row r="130" spans="2:7" x14ac:dyDescent="0.15">
      <c r="B130" t="s">
        <v>21</v>
      </c>
      <c r="C130" t="s">
        <v>28</v>
      </c>
      <c r="D130" t="s">
        <v>46</v>
      </c>
      <c r="E130" s="1">
        <v>836489</v>
      </c>
      <c r="F130" s="1">
        <v>820828</v>
      </c>
      <c r="G130" s="4">
        <v>1.0189999999999999</v>
      </c>
    </row>
    <row r="131" spans="2:7" x14ac:dyDescent="0.15">
      <c r="B131" t="s">
        <v>21</v>
      </c>
      <c r="C131" t="s">
        <v>29</v>
      </c>
      <c r="D131" t="s">
        <v>43</v>
      </c>
      <c r="E131" s="1">
        <v>2240129</v>
      </c>
      <c r="F131" s="1">
        <v>2417410</v>
      </c>
      <c r="G131" s="4">
        <v>0.92700000000000005</v>
      </c>
    </row>
    <row r="132" spans="2:7" x14ac:dyDescent="0.15">
      <c r="B132" t="s">
        <v>21</v>
      </c>
      <c r="C132" t="s">
        <v>29</v>
      </c>
      <c r="D132" t="s">
        <v>44</v>
      </c>
      <c r="E132" s="1">
        <v>3581385</v>
      </c>
      <c r="F132" s="1">
        <v>3790489</v>
      </c>
      <c r="G132" s="4">
        <v>0.94499999999999995</v>
      </c>
    </row>
    <row r="133" spans="2:7" x14ac:dyDescent="0.15">
      <c r="B133" t="s">
        <v>21</v>
      </c>
      <c r="C133" t="s">
        <v>29</v>
      </c>
      <c r="D133" t="s">
        <v>45</v>
      </c>
      <c r="E133" s="1">
        <v>1988728</v>
      </c>
      <c r="F133" s="1">
        <v>2042935</v>
      </c>
      <c r="G133" s="4">
        <v>0.97299999999999998</v>
      </c>
    </row>
    <row r="134" spans="2:7" x14ac:dyDescent="0.15">
      <c r="B134" t="s">
        <v>21</v>
      </c>
      <c r="C134" t="s">
        <v>29</v>
      </c>
      <c r="D134" t="s">
        <v>46</v>
      </c>
      <c r="E134" s="1">
        <v>1125053</v>
      </c>
      <c r="F134" s="1">
        <v>1132371</v>
      </c>
      <c r="G134" s="4">
        <v>0.99399999999999999</v>
      </c>
    </row>
    <row r="135" spans="2:7" x14ac:dyDescent="0.15">
      <c r="B135" t="s">
        <v>21</v>
      </c>
      <c r="C135" t="s">
        <v>30</v>
      </c>
      <c r="D135" t="s">
        <v>43</v>
      </c>
      <c r="E135" s="1">
        <v>1841979</v>
      </c>
      <c r="F135" s="1">
        <v>1964111</v>
      </c>
      <c r="G135" s="4">
        <v>0.93799999999999994</v>
      </c>
    </row>
    <row r="136" spans="2:7" x14ac:dyDescent="0.15">
      <c r="B136" t="s">
        <v>21</v>
      </c>
      <c r="C136" t="s">
        <v>30</v>
      </c>
      <c r="D136" t="s">
        <v>44</v>
      </c>
      <c r="E136" s="1">
        <v>2351971</v>
      </c>
      <c r="F136" s="1">
        <v>2459688</v>
      </c>
      <c r="G136" s="4">
        <v>0.95599999999999996</v>
      </c>
    </row>
    <row r="137" spans="2:7" x14ac:dyDescent="0.15">
      <c r="B137" t="s">
        <v>21</v>
      </c>
      <c r="C137" t="s">
        <v>30</v>
      </c>
      <c r="D137" t="s">
        <v>45</v>
      </c>
      <c r="E137" s="1">
        <v>1311434</v>
      </c>
      <c r="F137" s="1">
        <v>1331158</v>
      </c>
      <c r="G137" s="4">
        <v>0.98499999999999999</v>
      </c>
    </row>
    <row r="138" spans="2:7" x14ac:dyDescent="0.15">
      <c r="B138" t="s">
        <v>21</v>
      </c>
      <c r="C138" t="s">
        <v>30</v>
      </c>
      <c r="D138" t="s">
        <v>46</v>
      </c>
      <c r="E138" s="1">
        <v>668377</v>
      </c>
      <c r="F138" s="1">
        <v>664724</v>
      </c>
      <c r="G138" s="4">
        <v>1.0049999999999999</v>
      </c>
    </row>
    <row r="139" spans="2:7" x14ac:dyDescent="0.15">
      <c r="B139" t="s">
        <v>21</v>
      </c>
      <c r="C139" t="s">
        <v>31</v>
      </c>
      <c r="D139" t="s">
        <v>43</v>
      </c>
      <c r="E139" s="1">
        <v>1419325</v>
      </c>
      <c r="F139" s="1">
        <v>1510035</v>
      </c>
      <c r="G139" s="4">
        <v>0.94</v>
      </c>
    </row>
    <row r="140" spans="2:7" x14ac:dyDescent="0.15">
      <c r="B140" t="s">
        <v>21</v>
      </c>
      <c r="C140" t="s">
        <v>31</v>
      </c>
      <c r="D140" t="s">
        <v>44</v>
      </c>
      <c r="E140" s="1">
        <v>2387497</v>
      </c>
      <c r="F140" s="1">
        <v>2491236</v>
      </c>
      <c r="G140" s="4">
        <v>0.95799999999999996</v>
      </c>
    </row>
    <row r="141" spans="2:7" x14ac:dyDescent="0.15">
      <c r="B141" t="s">
        <v>21</v>
      </c>
      <c r="C141" t="s">
        <v>31</v>
      </c>
      <c r="D141" t="s">
        <v>45</v>
      </c>
      <c r="E141" s="1">
        <v>2248838</v>
      </c>
      <c r="F141" s="1">
        <v>2277535</v>
      </c>
      <c r="G141" s="4">
        <v>0.98699999999999999</v>
      </c>
    </row>
    <row r="142" spans="2:7" x14ac:dyDescent="0.15">
      <c r="B142" t="s">
        <v>21</v>
      </c>
      <c r="C142" t="s">
        <v>31</v>
      </c>
      <c r="D142" t="s">
        <v>46</v>
      </c>
      <c r="E142" s="1">
        <v>1150372</v>
      </c>
      <c r="F142" s="1">
        <v>1141515</v>
      </c>
      <c r="G142" s="4">
        <v>1.008</v>
      </c>
    </row>
    <row r="143" spans="2:7" x14ac:dyDescent="0.15">
      <c r="B143" t="s">
        <v>21</v>
      </c>
      <c r="C143" t="s">
        <v>32</v>
      </c>
      <c r="D143" t="s">
        <v>43</v>
      </c>
      <c r="E143" s="1">
        <v>724748</v>
      </c>
      <c r="F143" s="1">
        <v>779625</v>
      </c>
      <c r="G143" s="4">
        <v>0.93</v>
      </c>
    </row>
    <row r="144" spans="2:7" x14ac:dyDescent="0.15">
      <c r="B144" t="s">
        <v>21</v>
      </c>
      <c r="C144" t="s">
        <v>32</v>
      </c>
      <c r="D144" t="s">
        <v>44</v>
      </c>
      <c r="E144" s="1">
        <v>1309538</v>
      </c>
      <c r="F144" s="1">
        <v>1381603</v>
      </c>
      <c r="G144" s="4">
        <v>0.94799999999999995</v>
      </c>
    </row>
    <row r="145" spans="2:7" x14ac:dyDescent="0.15">
      <c r="B145" t="s">
        <v>21</v>
      </c>
      <c r="C145" t="s">
        <v>32</v>
      </c>
      <c r="D145" t="s">
        <v>45</v>
      </c>
      <c r="E145" s="1">
        <v>1255616</v>
      </c>
      <c r="F145" s="1">
        <v>1285752</v>
      </c>
      <c r="G145" s="4">
        <v>0.97699999999999998</v>
      </c>
    </row>
    <row r="146" spans="2:7" x14ac:dyDescent="0.15">
      <c r="B146" t="s">
        <v>21</v>
      </c>
      <c r="C146" t="s">
        <v>32</v>
      </c>
      <c r="D146" t="s">
        <v>46</v>
      </c>
      <c r="E146" s="1">
        <v>712807</v>
      </c>
      <c r="F146" s="1">
        <v>715169</v>
      </c>
      <c r="G146" s="4">
        <v>0.997</v>
      </c>
    </row>
    <row r="147" spans="2:7" x14ac:dyDescent="0.15">
      <c r="B147" t="s">
        <v>21</v>
      </c>
      <c r="C147" t="s">
        <v>33</v>
      </c>
      <c r="D147" t="s">
        <v>43</v>
      </c>
      <c r="E147" s="1">
        <v>171111</v>
      </c>
      <c r="F147" s="1">
        <v>183759</v>
      </c>
      <c r="G147" s="4">
        <v>0.93100000000000005</v>
      </c>
    </row>
    <row r="148" spans="2:7" x14ac:dyDescent="0.15">
      <c r="B148" t="s">
        <v>21</v>
      </c>
      <c r="C148" t="s">
        <v>33</v>
      </c>
      <c r="D148" t="s">
        <v>44</v>
      </c>
      <c r="E148" s="1">
        <v>509225</v>
      </c>
      <c r="F148" s="1">
        <v>536348</v>
      </c>
      <c r="G148" s="4">
        <v>0.94899999999999995</v>
      </c>
    </row>
    <row r="149" spans="2:7" x14ac:dyDescent="0.15">
      <c r="B149" t="s">
        <v>21</v>
      </c>
      <c r="C149" t="s">
        <v>33</v>
      </c>
      <c r="D149" t="s">
        <v>45</v>
      </c>
      <c r="E149" s="1">
        <v>680783</v>
      </c>
      <c r="F149" s="1">
        <v>695954</v>
      </c>
      <c r="G149" s="4">
        <v>0.97799999999999998</v>
      </c>
    </row>
    <row r="150" spans="2:7" x14ac:dyDescent="0.15">
      <c r="B150" t="s">
        <v>21</v>
      </c>
      <c r="C150" t="s">
        <v>33</v>
      </c>
      <c r="D150" t="s">
        <v>46</v>
      </c>
      <c r="E150" s="1">
        <v>514742</v>
      </c>
      <c r="F150" s="1">
        <v>515582</v>
      </c>
      <c r="G150" s="4">
        <v>0.998</v>
      </c>
    </row>
    <row r="151" spans="2:7" x14ac:dyDescent="0.15">
      <c r="B151" t="s">
        <v>21</v>
      </c>
      <c r="C151" t="s">
        <v>34</v>
      </c>
      <c r="D151" t="s">
        <v>43</v>
      </c>
      <c r="E151" s="1">
        <v>68032</v>
      </c>
      <c r="F151" s="1">
        <v>72396</v>
      </c>
      <c r="G151" s="4">
        <v>0.94</v>
      </c>
    </row>
    <row r="152" spans="2:7" x14ac:dyDescent="0.15">
      <c r="B152" t="s">
        <v>21</v>
      </c>
      <c r="C152" t="s">
        <v>34</v>
      </c>
      <c r="D152" t="s">
        <v>44</v>
      </c>
      <c r="E152" s="1">
        <v>224819</v>
      </c>
      <c r="F152" s="1">
        <v>234638</v>
      </c>
      <c r="G152" s="4">
        <v>0.95799999999999996</v>
      </c>
    </row>
    <row r="153" spans="2:7" x14ac:dyDescent="0.15">
      <c r="B153" t="s">
        <v>21</v>
      </c>
      <c r="C153" t="s">
        <v>34</v>
      </c>
      <c r="D153" t="s">
        <v>45</v>
      </c>
      <c r="E153" s="1">
        <v>279506</v>
      </c>
      <c r="F153" s="1">
        <v>283133</v>
      </c>
      <c r="G153" s="4">
        <v>0.98699999999999999</v>
      </c>
    </row>
    <row r="154" spans="2:7" x14ac:dyDescent="0.15">
      <c r="B154" t="s">
        <v>21</v>
      </c>
      <c r="C154" t="s">
        <v>34</v>
      </c>
      <c r="D154" t="s">
        <v>46</v>
      </c>
      <c r="E154" s="1">
        <v>236345</v>
      </c>
      <c r="F154" s="1">
        <v>234576</v>
      </c>
      <c r="G154" s="4">
        <v>1.008</v>
      </c>
    </row>
    <row r="155" spans="2:7" x14ac:dyDescent="0.15">
      <c r="B155" t="s">
        <v>21</v>
      </c>
      <c r="C155" t="s">
        <v>35</v>
      </c>
      <c r="D155" t="s">
        <v>43</v>
      </c>
      <c r="E155" s="1">
        <v>128787</v>
      </c>
      <c r="F155" s="1">
        <v>137724</v>
      </c>
      <c r="G155" s="4">
        <v>0.93500000000000005</v>
      </c>
    </row>
    <row r="156" spans="2:7" x14ac:dyDescent="0.15">
      <c r="B156" t="s">
        <v>21</v>
      </c>
      <c r="C156" t="s">
        <v>35</v>
      </c>
      <c r="D156" t="s">
        <v>44</v>
      </c>
      <c r="E156" s="1">
        <v>318278</v>
      </c>
      <c r="F156" s="1">
        <v>333818</v>
      </c>
      <c r="G156" s="4">
        <v>0.95299999999999996</v>
      </c>
    </row>
    <row r="157" spans="2:7" x14ac:dyDescent="0.15">
      <c r="B157" t="s">
        <v>21</v>
      </c>
      <c r="C157" t="s">
        <v>35</v>
      </c>
      <c r="D157" t="s">
        <v>45</v>
      </c>
      <c r="E157" s="1">
        <v>304175</v>
      </c>
      <c r="F157" s="1">
        <v>309643</v>
      </c>
      <c r="G157" s="4">
        <v>0.98199999999999998</v>
      </c>
    </row>
    <row r="158" spans="2:7" x14ac:dyDescent="0.15">
      <c r="B158" t="s">
        <v>21</v>
      </c>
      <c r="C158" t="s">
        <v>35</v>
      </c>
      <c r="D158" t="s">
        <v>46</v>
      </c>
      <c r="E158" s="1">
        <v>235282</v>
      </c>
      <c r="F158" s="1">
        <v>234673</v>
      </c>
      <c r="G158" s="4">
        <v>1.0029999999999999</v>
      </c>
    </row>
    <row r="159" spans="2:7" x14ac:dyDescent="0.15">
      <c r="B159" t="s">
        <v>21</v>
      </c>
      <c r="C159" t="s">
        <v>36</v>
      </c>
      <c r="D159" t="s">
        <v>43</v>
      </c>
      <c r="E159" s="1">
        <v>40158</v>
      </c>
      <c r="F159" s="1">
        <v>42577</v>
      </c>
      <c r="G159" s="4">
        <v>0.94299999999999995</v>
      </c>
    </row>
    <row r="160" spans="2:7" x14ac:dyDescent="0.15">
      <c r="B160" t="s">
        <v>21</v>
      </c>
      <c r="C160" t="s">
        <v>36</v>
      </c>
      <c r="D160" t="s">
        <v>44</v>
      </c>
      <c r="E160" s="1">
        <v>103642</v>
      </c>
      <c r="F160" s="1">
        <v>107770</v>
      </c>
      <c r="G160" s="4">
        <v>0.96199999999999997</v>
      </c>
    </row>
    <row r="161" spans="2:7" x14ac:dyDescent="0.15">
      <c r="B161" t="s">
        <v>21</v>
      </c>
      <c r="C161" t="s">
        <v>36</v>
      </c>
      <c r="D161" t="s">
        <v>45</v>
      </c>
      <c r="E161" s="1">
        <v>102682</v>
      </c>
      <c r="F161" s="1">
        <v>103632</v>
      </c>
      <c r="G161" s="4">
        <v>0.99099999999999999</v>
      </c>
    </row>
    <row r="162" spans="2:7" x14ac:dyDescent="0.15">
      <c r="B162" t="s">
        <v>21</v>
      </c>
      <c r="C162" t="s">
        <v>36</v>
      </c>
      <c r="D162" t="s">
        <v>46</v>
      </c>
      <c r="E162" s="1">
        <v>84155</v>
      </c>
      <c r="F162" s="1">
        <v>83218</v>
      </c>
      <c r="G162" s="4">
        <v>1.0109999999999999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Snapshots</vt:lpstr>
      <vt:lpstr>budgets breakout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Jacob</dc:creator>
  <cp:lastModifiedBy>Anil Jacob</cp:lastModifiedBy>
  <dcterms:created xsi:type="dcterms:W3CDTF">2026-04-08T12:50:30Z</dcterms:created>
  <dcterms:modified xsi:type="dcterms:W3CDTF">2026-06-08T11:22:57Z</dcterms:modified>
</cp:coreProperties>
</file>