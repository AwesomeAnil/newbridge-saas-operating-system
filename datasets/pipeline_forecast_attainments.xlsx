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Anil\GitHub\newbridge-saas-operating-system\datasets\"/>
    </mc:Choice>
  </mc:AlternateContent>
  <xr:revisionPtr revIDLastSave="0" documentId="13_ncr:1_{713C1DE0-15AE-46CB-87FE-1CA9FD644CB4}" xr6:coauthVersionLast="47" xr6:coauthVersionMax="47" xr10:uidLastSave="{00000000-0000-0000-0000-000000000000}"/>
  <bookViews>
    <workbookView xWindow="1950" yWindow="0" windowWidth="20370" windowHeight="15480" xr2:uid="{76865BDF-23CF-4B29-B294-8B6645415571}"/>
  </bookViews>
  <sheets>
    <sheet name="Forecast Coverage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13" i="1" l="1"/>
  <c r="D12" i="1"/>
  <c r="D11" i="1"/>
  <c r="D10" i="1"/>
  <c r="D9" i="1"/>
  <c r="D8" i="1"/>
  <c r="D7" i="1"/>
  <c r="D6" i="1"/>
  <c r="D5" i="1"/>
  <c r="D4" i="1"/>
  <c r="G13" i="1"/>
  <c r="G12" i="1"/>
  <c r="G11" i="1"/>
  <c r="G10" i="1"/>
  <c r="G9" i="1"/>
  <c r="G8" i="1"/>
  <c r="G7" i="1"/>
  <c r="G6" i="1"/>
  <c r="G5" i="1"/>
  <c r="G4" i="1"/>
  <c r="J13" i="1"/>
  <c r="J12" i="1"/>
  <c r="J11" i="1"/>
  <c r="J10" i="1"/>
  <c r="J9" i="1"/>
  <c r="J8" i="1"/>
  <c r="J7" i="1"/>
  <c r="J6" i="1"/>
  <c r="J5" i="1"/>
  <c r="J4" i="1"/>
</calcChain>
</file>

<file path=xl/sharedStrings.xml><?xml version="1.0" encoding="utf-8"?>
<sst xmlns="http://schemas.openxmlformats.org/spreadsheetml/2006/main" count="24" uniqueCount="18">
  <si>
    <t>Full Pipe Coverage</t>
  </si>
  <si>
    <t>subregions</t>
  </si>
  <si>
    <t>VTB</t>
  </si>
  <si>
    <t>Attainment %</t>
  </si>
  <si>
    <t>SR001_NA_West</t>
  </si>
  <si>
    <t>SR002_NA_East</t>
  </si>
  <si>
    <t>SR003_DACH</t>
  </si>
  <si>
    <t>SR004_UKI</t>
  </si>
  <si>
    <t>SR005_India</t>
  </si>
  <si>
    <t>SR006_ANZ</t>
  </si>
  <si>
    <t>SR007_Brazil</t>
  </si>
  <si>
    <t>SR008_Mexico</t>
  </si>
  <si>
    <t>SR009_MiddleEast</t>
  </si>
  <si>
    <t>SR010_Africa</t>
  </si>
  <si>
    <t>Total</t>
  </si>
  <si>
    <t>Qualified Pipe Coverage</t>
  </si>
  <si>
    <t>High Pipe Coverage</t>
  </si>
  <si>
    <t>Running VTB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</si>
</sst>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7" formatCode="#.00,,&quot;M&quot;;[Red]#.00,,&quot;M&quot;"/>
    <numFmt numFmtId="168" formatCode="#0.00,,&quot;M&quot;;[Red]#.00,,&quot;M&quot;"/>
  </numFmts>
  <fonts count="4" x14ac:knownFonts="1">
    <font>
      <sz val="8"/>
      <color theme="1"/>
      <name val="Segoe UI"/>
      <family val="2"/>
    </font>
    <font>
      <sz val="8"/>
      <color theme="1"/>
      <name val="Segoe UI"/>
      <family val="2"/>
    </font>
    <font>
      <sz val="9"/>
      <color theme="1"/>
      <name val="Segoe UI"/>
      <family val="2"/>
    </font>
    <font>
      <b/>
      <sz val="9"/>
      <color theme="1"/>
      <name val="Segoe UI"/>
      <family val="2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medium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0">
    <xf numFmtId="0" fontId="0" fillId="0" borderId="0" xfId="0"/>
    <xf numFmtId="9" fontId="0" fillId="0" borderId="0" xfId="1" applyFont="1"/>
    <xf numFmtId="0" fontId="2" fillId="0" borderId="0" xfId="0" applyFont="1"/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0" xfId="0" applyFont="1"/>
    <xf numFmtId="164" fontId="2" fillId="0" borderId="4" xfId="1" applyNumberFormat="1" applyFont="1" applyBorder="1"/>
    <xf numFmtId="164" fontId="3" fillId="0" borderId="6" xfId="1" applyNumberFormat="1" applyFont="1" applyBorder="1"/>
    <xf numFmtId="167" fontId="3" fillId="0" borderId="5" xfId="0" applyNumberFormat="1" applyFont="1" applyBorder="1"/>
    <xf numFmtId="168" fontId="2" fillId="0" borderId="3" xfId="0" applyNumberFormat="1" applyFont="1" applyBorder="1"/>
    <xf numFmtId="168" fontId="3" fillId="0" borderId="5" xfId="0" applyNumberFormat="1" applyFont="1" applyBorder="1"/>
    <xf numFmtId="9" fontId="0" fillId="0" borderId="0" xfId="1" applyNumberFormat="1" applyFont="1"/>
    <xf numFmtId="0" fontId="3" fillId="0" borderId="7" xfId="0" applyFont="1" applyBorder="1" applyAlignment="1">
      <alignment horizontal="center"/>
    </xf>
    <xf numFmtId="164" fontId="2" fillId="0" borderId="0" xfId="1" applyNumberFormat="1" applyFont="1" applyBorder="1"/>
    <xf numFmtId="164" fontId="2" fillId="0" borderId="9" xfId="1" applyNumberFormat="1" applyFont="1" applyBorder="1"/>
    <xf numFmtId="0" fontId="2" fillId="0" borderId="0" xfId="0" applyFont="1" applyBorder="1" applyAlignment="1">
      <alignment horizontal="right" wrapText="1"/>
    </xf>
    <xf numFmtId="9" fontId="3" fillId="0" borderId="8" xfId="1" applyFont="1" applyBorder="1"/>
    <xf numFmtId="0" fontId="2" fillId="0" borderId="0" xfId="0" applyFont="1" applyBorder="1" applyAlignment="1">
      <alignment horizontal="right" vertical="center" wrapText="1"/>
    </xf>
    <xf numFmtId="0" fontId="2" fillId="0" borderId="3" xfId="0" applyFont="1" applyBorder="1" applyAlignment="1">
      <alignment horizontal="right" vertical="center"/>
    </xf>
    <xf numFmtId="0" fontId="2" fillId="0" borderId="4" xfId="0" applyFont="1" applyBorder="1" applyAlignment="1">
      <alignment horizontal="right"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9F192-A262-4AC2-A2B9-A5F22F786F0E}">
  <dimension ref="B1:M15"/>
  <sheetViews>
    <sheetView tabSelected="1" workbookViewId="0">
      <selection activeCell="E3" sqref="E3"/>
    </sheetView>
  </sheetViews>
  <sheetFormatPr defaultRowHeight="10.5" x14ac:dyDescent="0.15"/>
  <cols>
    <col min="2" max="2" width="17" bestFit="1" customWidth="1"/>
    <col min="3" max="3" width="7" bestFit="1" customWidth="1"/>
    <col min="4" max="4" width="8.6640625" bestFit="1" customWidth="1"/>
    <col min="5" max="5" width="13.5" bestFit="1" customWidth="1"/>
    <col min="6" max="6" width="8.1640625" bestFit="1" customWidth="1"/>
    <col min="7" max="7" width="8.6640625" bestFit="1" customWidth="1"/>
    <col min="8" max="8" width="13.5" bestFit="1" customWidth="1"/>
    <col min="9" max="9" width="8.1640625" bestFit="1" customWidth="1"/>
    <col min="10" max="10" width="8.6640625" bestFit="1" customWidth="1"/>
    <col min="11" max="11" width="13.5" bestFit="1" customWidth="1"/>
  </cols>
  <sheetData>
    <row r="1" spans="2:13" ht="11.25" thickBot="1" x14ac:dyDescent="0.2"/>
    <row r="2" spans="2:13" ht="12" x14ac:dyDescent="0.2">
      <c r="B2" s="2"/>
      <c r="C2" s="3" t="s">
        <v>0</v>
      </c>
      <c r="D2" s="12"/>
      <c r="E2" s="4"/>
      <c r="F2" s="3" t="s">
        <v>15</v>
      </c>
      <c r="G2" s="12"/>
      <c r="H2" s="4"/>
      <c r="I2" s="3" t="s">
        <v>16</v>
      </c>
      <c r="J2" s="12"/>
      <c r="K2" s="4"/>
    </row>
    <row r="3" spans="2:13" ht="24" x14ac:dyDescent="0.2">
      <c r="B3" s="5" t="s">
        <v>1</v>
      </c>
      <c r="C3" s="18" t="s">
        <v>2</v>
      </c>
      <c r="D3" s="15" t="s">
        <v>17</v>
      </c>
      <c r="E3" s="19" t="s">
        <v>3</v>
      </c>
      <c r="F3" s="18" t="s">
        <v>2</v>
      </c>
      <c r="G3" s="17" t="s">
        <v>17</v>
      </c>
      <c r="H3" s="19" t="s">
        <v>3</v>
      </c>
      <c r="I3" s="18" t="s">
        <v>2</v>
      </c>
      <c r="J3" s="15" t="s">
        <v>17</v>
      </c>
      <c r="K3" s="19" t="s">
        <v>3</v>
      </c>
    </row>
    <row r="4" spans="2:13" ht="12" x14ac:dyDescent="0.2">
      <c r="B4" s="2" t="s">
        <v>4</v>
      </c>
      <c r="C4" s="9">
        <v>2145843.0924399644</v>
      </c>
      <c r="D4" s="13">
        <f>C4/C14</f>
        <v>0.26251903390942904</v>
      </c>
      <c r="E4" s="6">
        <v>1.0516723050613055</v>
      </c>
      <c r="F4" s="9">
        <v>-5316462.195008792</v>
      </c>
      <c r="G4" s="13">
        <f>F4/F14</f>
        <v>0.44262976604236792</v>
      </c>
      <c r="H4" s="6">
        <v>0.87197859090665175</v>
      </c>
      <c r="I4" s="9">
        <v>-13767627.59341744</v>
      </c>
      <c r="J4" s="13">
        <f>I4/I14</f>
        <v>0.39147857132845526</v>
      </c>
      <c r="K4" s="6">
        <v>0.66847293938505126</v>
      </c>
      <c r="M4" s="1"/>
    </row>
    <row r="5" spans="2:13" ht="12" x14ac:dyDescent="0.2">
      <c r="B5" s="2" t="s">
        <v>5</v>
      </c>
      <c r="C5" s="9">
        <v>3376856.5422686934</v>
      </c>
      <c r="D5" s="13">
        <f>SUM(C4:C5)/C$14</f>
        <v>0.67563829703277145</v>
      </c>
      <c r="E5" s="6">
        <v>1.0976239298318851</v>
      </c>
      <c r="F5" s="9">
        <v>-3263444.7762306258</v>
      </c>
      <c r="G5" s="13">
        <f>SUM(F4:F5)/F$14</f>
        <v>0.71433259111865177</v>
      </c>
      <c r="H5" s="6">
        <v>0.90565477098090474</v>
      </c>
      <c r="I5" s="9">
        <v>-11044067.856143363</v>
      </c>
      <c r="J5" s="13">
        <f>SUM(I4:I5)/I$14</f>
        <v>0.70551349685510689</v>
      </c>
      <c r="K5" s="6">
        <v>0.68071924526519401</v>
      </c>
      <c r="M5" s="1"/>
    </row>
    <row r="6" spans="2:13" ht="12" x14ac:dyDescent="0.2">
      <c r="B6" s="2" t="s">
        <v>6</v>
      </c>
      <c r="C6" s="9">
        <v>412410.56413429603</v>
      </c>
      <c r="D6" s="13">
        <f>SUM(C4:C6)/C$14</f>
        <v>0.72609195007572203</v>
      </c>
      <c r="E6" s="6">
        <v>1.0161668420891736</v>
      </c>
      <c r="F6" s="9">
        <v>-1265414.7946229205</v>
      </c>
      <c r="G6" s="13">
        <f>SUM(F4:F6)/F$14</f>
        <v>0.81968653401254421</v>
      </c>
      <c r="H6" s="6">
        <v>0.95039467234570907</v>
      </c>
      <c r="I6" s="9">
        <v>-3160555.4089337587</v>
      </c>
      <c r="J6" s="13">
        <f>SUM(I4:I6)/I$14</f>
        <v>0.79538299017909697</v>
      </c>
      <c r="K6" s="6">
        <v>0.87610356122284838</v>
      </c>
      <c r="M6" s="11"/>
    </row>
    <row r="7" spans="2:13" ht="12" x14ac:dyDescent="0.2">
      <c r="B7" s="2" t="s">
        <v>7</v>
      </c>
      <c r="C7" s="9">
        <v>450519.63611060753</v>
      </c>
      <c r="D7" s="13">
        <f>SUM(C4:C7)/C$14</f>
        <v>0.78120780642405518</v>
      </c>
      <c r="E7" s="6">
        <v>1.025874295465063</v>
      </c>
      <c r="F7" s="9">
        <v>-616374.07395501062</v>
      </c>
      <c r="G7" s="13">
        <f>SUM(F4:F7)/F$14</f>
        <v>0.8710036509489576</v>
      </c>
      <c r="H7" s="6">
        <v>0.9646003334189831</v>
      </c>
      <c r="I7" s="9">
        <v>-1615517.5884540528</v>
      </c>
      <c r="J7" s="13">
        <f>SUM(I4:I7)/I$14</f>
        <v>0.84131977291037641</v>
      </c>
      <c r="K7" s="6">
        <v>0.90721740838305265</v>
      </c>
      <c r="M7" s="1"/>
    </row>
    <row r="8" spans="2:13" ht="12" x14ac:dyDescent="0.2">
      <c r="B8" s="2" t="s">
        <v>8</v>
      </c>
      <c r="C8" s="9">
        <v>398654.47068489343</v>
      </c>
      <c r="D8" s="13">
        <f>SUM(C4:C8)/C$14</f>
        <v>0.82997856085460131</v>
      </c>
      <c r="E8" s="6">
        <v>1.0197595909860049</v>
      </c>
      <c r="F8" s="9">
        <v>-1001119.6713206805</v>
      </c>
      <c r="G8" s="13">
        <f>SUM(F4:F8)/F$14</f>
        <v>0.95435332026723108</v>
      </c>
      <c r="H8" s="6">
        <v>0.95037879495154032</v>
      </c>
      <c r="I8" s="9">
        <v>-2709918.1907176636</v>
      </c>
      <c r="J8" s="13">
        <f>SUM(I4:I8)/I$14</f>
        <v>0.9183755252192467</v>
      </c>
      <c r="K8" s="6">
        <v>0.8656809869405927</v>
      </c>
      <c r="M8" s="1"/>
    </row>
    <row r="9" spans="2:13" ht="12" x14ac:dyDescent="0.2">
      <c r="B9" s="2" t="s">
        <v>9</v>
      </c>
      <c r="C9" s="9">
        <v>375541.28358056955</v>
      </c>
      <c r="D9" s="13">
        <f>SUM(C4:C9)/C$14</f>
        <v>0.87592168470462073</v>
      </c>
      <c r="E9" s="6">
        <v>1.0350466917675336</v>
      </c>
      <c r="F9" s="9">
        <v>-431127.71733675338</v>
      </c>
      <c r="G9" s="13">
        <f>SUM(F4:F9)/F$14</f>
        <v>0.99024748327629042</v>
      </c>
      <c r="H9" s="6">
        <v>0.95976580769528119</v>
      </c>
      <c r="I9" s="9">
        <v>-1425304.4115175437</v>
      </c>
      <c r="J9" s="13">
        <f>SUM(I4:I9)/I$14</f>
        <v>0.95890365041314818</v>
      </c>
      <c r="K9" s="6">
        <v>0.86698611692143168</v>
      </c>
      <c r="M9" s="1"/>
    </row>
    <row r="10" spans="2:13" ht="12" x14ac:dyDescent="0.2">
      <c r="B10" s="2" t="s">
        <v>10</v>
      </c>
      <c r="C10" s="9">
        <v>412197.79724625871</v>
      </c>
      <c r="D10" s="13">
        <f>SUM(C4:C10)/C$14</f>
        <v>0.92634930818460259</v>
      </c>
      <c r="E10" s="6">
        <v>1.0891483469827619</v>
      </c>
      <c r="F10" s="9">
        <v>-69556.683930568397</v>
      </c>
      <c r="G10" s="13">
        <f>SUM(F4:F10)/F$14</f>
        <v>0.99603852581652985</v>
      </c>
      <c r="H10" s="6">
        <v>0.98495658289433308</v>
      </c>
      <c r="I10" s="9">
        <v>-660687.10493733268</v>
      </c>
      <c r="J10" s="13">
        <f>SUM(I4:I10)/I$14</f>
        <v>0.97769010016137214</v>
      </c>
      <c r="K10" s="6">
        <v>0.85710946620415407</v>
      </c>
      <c r="M10" s="1"/>
    </row>
    <row r="11" spans="2:13" ht="12" x14ac:dyDescent="0.2">
      <c r="B11" s="2" t="s">
        <v>11</v>
      </c>
      <c r="C11" s="9">
        <v>271891.33047977649</v>
      </c>
      <c r="D11" s="13">
        <f>SUM(C4:C11)/C$14</f>
        <v>0.95961206148532996</v>
      </c>
      <c r="E11" s="6">
        <v>1.1402956728729881</v>
      </c>
      <c r="F11" s="9">
        <v>4154.1508739702404</v>
      </c>
      <c r="G11" s="13">
        <f>SUM(F4:F11)/F$14</f>
        <v>0.99569266596424377</v>
      </c>
      <c r="H11" s="6">
        <v>1.002143537975452</v>
      </c>
      <c r="I11" s="9">
        <v>-270989.0050915496</v>
      </c>
      <c r="J11" s="13">
        <f>SUM(I4:I11)/I$14</f>
        <v>0.98539559537753274</v>
      </c>
      <c r="K11" s="6">
        <v>0.8601699261855339</v>
      </c>
      <c r="M11" s="1"/>
    </row>
    <row r="12" spans="2:13" ht="12" x14ac:dyDescent="0.2">
      <c r="B12" s="2" t="s">
        <v>12</v>
      </c>
      <c r="C12" s="9">
        <v>234768.83116372442</v>
      </c>
      <c r="D12" s="13">
        <f>SUM(C4:C12)/C$14</f>
        <v>0.9883333072121403</v>
      </c>
      <c r="E12" s="6">
        <v>1.0959697692551522</v>
      </c>
      <c r="F12" s="9">
        <v>-41154.693742873147</v>
      </c>
      <c r="G12" s="13">
        <f>SUM(F4:F12)/F$14</f>
        <v>0.99911905964387071</v>
      </c>
      <c r="H12" s="6">
        <v>0.98317661487390717</v>
      </c>
      <c r="I12" s="9">
        <v>-377107.69700643444</v>
      </c>
      <c r="J12" s="13">
        <f>SUM(I4:I12)/I$14</f>
        <v>0.996118545389024</v>
      </c>
      <c r="K12" s="6">
        <v>0.84584436321186818</v>
      </c>
      <c r="M12" s="1"/>
    </row>
    <row r="13" spans="2:13" ht="12" x14ac:dyDescent="0.2">
      <c r="B13" s="2" t="s">
        <v>13</v>
      </c>
      <c r="C13" s="9">
        <v>95364.10277619306</v>
      </c>
      <c r="D13" s="14">
        <f>SUM(C4:C13)/C$14</f>
        <v>0.999999999999999</v>
      </c>
      <c r="E13" s="6">
        <v>1.1198428421942677</v>
      </c>
      <c r="F13" s="9">
        <v>-10581.046415620949</v>
      </c>
      <c r="G13" s="14">
        <f>SUM(F4:F13)/F$14</f>
        <v>1.000000000000002</v>
      </c>
      <c r="H13" s="6">
        <v>0.98670293497319994</v>
      </c>
      <c r="I13" s="9">
        <v>-136504.07843101199</v>
      </c>
      <c r="J13" s="14">
        <f>SUM(I4:I13)/I$14</f>
        <v>1.0000000000000007</v>
      </c>
      <c r="K13" s="6">
        <v>0.82845707919389555</v>
      </c>
      <c r="M13" s="1"/>
    </row>
    <row r="14" spans="2:13" ht="12.75" thickBot="1" x14ac:dyDescent="0.25">
      <c r="B14" s="5" t="s">
        <v>14</v>
      </c>
      <c r="C14" s="8">
        <v>8174047.6508849859</v>
      </c>
      <c r="D14" s="16">
        <v>0</v>
      </c>
      <c r="E14" s="7">
        <v>1.051172768921506</v>
      </c>
      <c r="F14" s="10">
        <v>-12011081.501689851</v>
      </c>
      <c r="G14" s="16">
        <v>0</v>
      </c>
      <c r="H14" s="7">
        <v>0.92480588266245234</v>
      </c>
      <c r="I14" s="10">
        <v>-35168278.934650123</v>
      </c>
      <c r="J14" s="16">
        <v>0</v>
      </c>
      <c r="K14" s="7">
        <v>0.77983267431832548</v>
      </c>
      <c r="M14" s="1"/>
    </row>
    <row r="15" spans="2:13" ht="11.25" thickTop="1" x14ac:dyDescent="0.15"/>
  </sheetData>
  <mergeCells count="3">
    <mergeCell ref="C2:E2"/>
    <mergeCell ref="F2:H2"/>
    <mergeCell ref="I2:K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Forecast Coverage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Anil Jacob</dc:creator>
  <cp:lastModifiedBy>Anil Jacob</cp:lastModifiedBy>
  <dcterms:created xsi:type="dcterms:W3CDTF">2026-06-16T07:34:14Z</dcterms:created>
  <dcterms:modified xsi:type="dcterms:W3CDTF">2026-06-16T08:43:41Z</dcterms:modified>
</cp:coreProperties>
</file>