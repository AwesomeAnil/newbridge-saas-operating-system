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6.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7.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8.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nil\1. Power BI\Fabric\new_SaaS\final\"/>
    </mc:Choice>
  </mc:AlternateContent>
  <xr:revisionPtr revIDLastSave="0" documentId="13_ncr:1_{97767869-FD9C-4B94-B606-662CBE885F0B}" xr6:coauthVersionLast="47" xr6:coauthVersionMax="47" xr10:uidLastSave="{00000000-0000-0000-0000-000000000000}"/>
  <bookViews>
    <workbookView xWindow="90" yWindow="0" windowWidth="20370" windowHeight="15480" tabRatio="715" firstSheet="3" activeTab="4" xr2:uid="{00000000-000D-0000-FFFF-FFFF00000000}"/>
  </bookViews>
  <sheets>
    <sheet name="CRR_LP_Optimization-Initial" sheetId="2" r:id="rId1"/>
    <sheet name="LP_Scenario1" sheetId="3" r:id="rId2"/>
    <sheet name="LP-Scenario2" sheetId="4" r:id="rId3"/>
    <sheet name="LP-Scenario2-QualifiedPipe" sheetId="10" r:id="rId4"/>
    <sheet name="LP-Scenario2-QualPipe-Scenarios" sheetId="11" r:id="rId5"/>
    <sheet name="LP-Scenario3" sheetId="5" r:id="rId6"/>
    <sheet name="LP-Scenario4" sheetId="7" r:id="rId7"/>
    <sheet name="LP-Scenario5" sheetId="8" r:id="rId8"/>
    <sheet name="LP-Scenario6" sheetId="9" r:id="rId9"/>
  </sheets>
  <definedNames>
    <definedName name="solver_adj" localSheetId="1" hidden="1">LP_Scenario1!$B$14:$D$16</definedName>
    <definedName name="solver_adj" localSheetId="2" hidden="1">'LP-Scenario2'!$B$14:$D$16</definedName>
    <definedName name="solver_adj" localSheetId="3" hidden="1">'LP-Scenario2-QualifiedPipe'!$B$18:$D$23</definedName>
    <definedName name="solver_adj" localSheetId="4" hidden="1">'LP-Scenario2-QualPipe-Scenarios'!$B$18:$D$23</definedName>
    <definedName name="solver_adj" localSheetId="5" hidden="1">'LP-Scenario3'!$B$14:$D$16</definedName>
    <definedName name="solver_adj" localSheetId="6" hidden="1">'LP-Scenario4'!$B$14:$D$16</definedName>
    <definedName name="solver_adj" localSheetId="7" hidden="1">'LP-Scenario5'!$B$14:$D$16</definedName>
    <definedName name="solver_adj" localSheetId="8" hidden="1">'LP-Scenario6'!$B$14:$D$16</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cvg" localSheetId="7" hidden="1">0.0001</definedName>
    <definedName name="solver_cvg" localSheetId="8" hidden="1">0.0001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drv" localSheetId="7" hidden="1">1</definedName>
    <definedName name="solver_drv" localSheetId="8" hidden="1">1</definedName>
    <definedName name="solver_eng" localSheetId="1"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6" hidden="1">2</definedName>
    <definedName name="solver_eng" localSheetId="7" hidden="1">2</definedName>
    <definedName name="solver_eng" localSheetId="8" hidden="1">2</definedName>
    <definedName name="solver_est" localSheetId="1"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est" localSheetId="7" hidden="1">1</definedName>
    <definedName name="solver_est" localSheetId="8" hidden="1">1</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6" hidden="1">2147483647</definedName>
    <definedName name="solver_itr" localSheetId="7" hidden="1">2147483647</definedName>
    <definedName name="solver_itr" localSheetId="8" hidden="1">2147483647</definedName>
    <definedName name="solver_lhs1" localSheetId="1" hidden="1">LP_Scenario1!$B$30</definedName>
    <definedName name="solver_lhs1" localSheetId="2" hidden="1">'LP-Scenario2'!$B$30</definedName>
    <definedName name="solver_lhs1" localSheetId="3" hidden="1">'LP-Scenario2-QualifiedPipe'!$B$40</definedName>
    <definedName name="solver_lhs1" localSheetId="4" hidden="1">'LP-Scenario2-QualPipe-Scenarios'!$B$40</definedName>
    <definedName name="solver_lhs1" localSheetId="5" hidden="1">'LP-Scenario3'!$B$30</definedName>
    <definedName name="solver_lhs1" localSheetId="6" hidden="1">'LP-Scenario4'!$B$30</definedName>
    <definedName name="solver_lhs1" localSheetId="7" hidden="1">'LP-Scenario5'!$B$30</definedName>
    <definedName name="solver_lhs1" localSheetId="8" hidden="1">'LP-Scenario6'!$B$30</definedName>
    <definedName name="solver_lhs10" localSheetId="3" hidden="1">'LP-Scenario2-QualifiedPipe'!$B$49</definedName>
    <definedName name="solver_lhs10" localSheetId="4" hidden="1">'LP-Scenario2-QualPipe-Scenarios'!$B$49</definedName>
    <definedName name="solver_lhs2" localSheetId="1" hidden="1">LP_Scenario1!$B$31</definedName>
    <definedName name="solver_lhs2" localSheetId="2" hidden="1">'LP-Scenario2'!$B$31</definedName>
    <definedName name="solver_lhs2" localSheetId="3" hidden="1">'LP-Scenario2-QualifiedPipe'!$B$41</definedName>
    <definedName name="solver_lhs2" localSheetId="4" hidden="1">'LP-Scenario2-QualPipe-Scenarios'!$B$41</definedName>
    <definedName name="solver_lhs2" localSheetId="5" hidden="1">'LP-Scenario3'!$B$31</definedName>
    <definedName name="solver_lhs2" localSheetId="6" hidden="1">'LP-Scenario4'!$B$31</definedName>
    <definedName name="solver_lhs2" localSheetId="7" hidden="1">'LP-Scenario5'!$B$31</definedName>
    <definedName name="solver_lhs2" localSheetId="8" hidden="1">'LP-Scenario6'!$B$31</definedName>
    <definedName name="solver_lhs3" localSheetId="1" hidden="1">LP_Scenario1!$B$32</definedName>
    <definedName name="solver_lhs3" localSheetId="2" hidden="1">'LP-Scenario2'!$B$32</definedName>
    <definedName name="solver_lhs3" localSheetId="3" hidden="1">'LP-Scenario2-QualifiedPipe'!$B$42</definedName>
    <definedName name="solver_lhs3" localSheetId="4" hidden="1">'LP-Scenario2-QualPipe-Scenarios'!$B$42</definedName>
    <definedName name="solver_lhs3" localSheetId="5" hidden="1">'LP-Scenario3'!$B$32</definedName>
    <definedName name="solver_lhs3" localSheetId="6" hidden="1">'LP-Scenario4'!$B$32</definedName>
    <definedName name="solver_lhs3" localSheetId="7" hidden="1">'LP-Scenario5'!$B$32</definedName>
    <definedName name="solver_lhs3" localSheetId="8" hidden="1">'LP-Scenario6'!$B$32</definedName>
    <definedName name="solver_lhs4" localSheetId="1" hidden="1">LP_Scenario1!$B$33</definedName>
    <definedName name="solver_lhs4" localSheetId="2" hidden="1">'LP-Scenario2'!$B$33</definedName>
    <definedName name="solver_lhs4" localSheetId="3" hidden="1">'LP-Scenario2-QualifiedPipe'!$B$43</definedName>
    <definedName name="solver_lhs4" localSheetId="4" hidden="1">'LP-Scenario2-QualPipe-Scenarios'!$B$43</definedName>
    <definedName name="solver_lhs4" localSheetId="5" hidden="1">'LP-Scenario3'!$B$33</definedName>
    <definedName name="solver_lhs4" localSheetId="6" hidden="1">'LP-Scenario4'!$B$33</definedName>
    <definedName name="solver_lhs4" localSheetId="7" hidden="1">'LP-Scenario5'!$B$33</definedName>
    <definedName name="solver_lhs4" localSheetId="8" hidden="1">'LP-Scenario6'!$B$33</definedName>
    <definedName name="solver_lhs5" localSheetId="1" hidden="1">LP_Scenario1!$B$34</definedName>
    <definedName name="solver_lhs5" localSheetId="2" hidden="1">'LP-Scenario2'!$B$34</definedName>
    <definedName name="solver_lhs5" localSheetId="3" hidden="1">'LP-Scenario2-QualifiedPipe'!$B$44</definedName>
    <definedName name="solver_lhs5" localSheetId="4" hidden="1">'LP-Scenario2-QualPipe-Scenarios'!$B$44</definedName>
    <definedName name="solver_lhs5" localSheetId="5" hidden="1">'LP-Scenario3'!$B$34</definedName>
    <definedName name="solver_lhs5" localSheetId="6" hidden="1">'LP-Scenario4'!$B$34</definedName>
    <definedName name="solver_lhs5" localSheetId="7" hidden="1">'LP-Scenario5'!$B$34</definedName>
    <definedName name="solver_lhs5" localSheetId="8" hidden="1">'LP-Scenario6'!$B$34</definedName>
    <definedName name="solver_lhs6" localSheetId="1" hidden="1">LP_Scenario1!$B$35</definedName>
    <definedName name="solver_lhs6" localSheetId="2" hidden="1">'LP-Scenario2'!$B$35</definedName>
    <definedName name="solver_lhs6" localSheetId="3" hidden="1">'LP-Scenario2-QualifiedPipe'!$B$45</definedName>
    <definedName name="solver_lhs6" localSheetId="4" hidden="1">'LP-Scenario2-QualPipe-Scenarios'!$B$45</definedName>
    <definedName name="solver_lhs6" localSheetId="5" hidden="1">'LP-Scenario3'!$B$35</definedName>
    <definedName name="solver_lhs6" localSheetId="6" hidden="1">'LP-Scenario4'!$B$35</definedName>
    <definedName name="solver_lhs6" localSheetId="7" hidden="1">'LP-Scenario5'!$B$35</definedName>
    <definedName name="solver_lhs6" localSheetId="8" hidden="1">'LP-Scenario6'!$B$35</definedName>
    <definedName name="solver_lhs7" localSheetId="1" hidden="1">LP_Scenario1!$B$36</definedName>
    <definedName name="solver_lhs7" localSheetId="2" hidden="1">'LP-Scenario2'!$B$36</definedName>
    <definedName name="solver_lhs7" localSheetId="3" hidden="1">'LP-Scenario2-QualifiedPipe'!$B$46</definedName>
    <definedName name="solver_lhs7" localSheetId="4" hidden="1">'LP-Scenario2-QualPipe-Scenarios'!$B$46</definedName>
    <definedName name="solver_lhs7" localSheetId="5" hidden="1">'LP-Scenario3'!$B$36</definedName>
    <definedName name="solver_lhs7" localSheetId="6" hidden="1">'LP-Scenario4'!$B$36</definedName>
    <definedName name="solver_lhs7" localSheetId="7" hidden="1">'LP-Scenario5'!$B$36</definedName>
    <definedName name="solver_lhs7" localSheetId="8" hidden="1">'LP-Scenario6'!$B$36</definedName>
    <definedName name="solver_lhs8" localSheetId="3" hidden="1">'LP-Scenario2-QualifiedPipe'!$B$47</definedName>
    <definedName name="solver_lhs8" localSheetId="4" hidden="1">'LP-Scenario2-QualPipe-Scenarios'!$B$47</definedName>
    <definedName name="solver_lhs9" localSheetId="3" hidden="1">'LP-Scenario2-QualifiedPipe'!$B$48</definedName>
    <definedName name="solver_lhs9" localSheetId="4" hidden="1">'LP-Scenario2-QualPipe-Scenarios'!$B$48</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ip" localSheetId="7" hidden="1">2147483647</definedName>
    <definedName name="solver_mip" localSheetId="8" hidden="1">2147483647</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ni" localSheetId="7" hidden="1">30</definedName>
    <definedName name="solver_mni" localSheetId="8" hidden="1">30</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rt" localSheetId="7" hidden="1">0.075</definedName>
    <definedName name="solver_mrt" localSheetId="8" hidden="1">0.075</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msl" localSheetId="7" hidden="1">2</definedName>
    <definedName name="solver_msl" localSheetId="8" hidden="1">2</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eg" localSheetId="7" hidden="1">1</definedName>
    <definedName name="solver_neg" localSheetId="8" hidden="1">1</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od" localSheetId="7" hidden="1">2147483647</definedName>
    <definedName name="solver_nod" localSheetId="8" hidden="1">2147483647</definedName>
    <definedName name="solver_num" localSheetId="1" hidden="1">7</definedName>
    <definedName name="solver_num" localSheetId="2" hidden="1">7</definedName>
    <definedName name="solver_num" localSheetId="3" hidden="1">10</definedName>
    <definedName name="solver_num" localSheetId="4" hidden="1">10</definedName>
    <definedName name="solver_num" localSheetId="5" hidden="1">7</definedName>
    <definedName name="solver_num" localSheetId="6" hidden="1">7</definedName>
    <definedName name="solver_num" localSheetId="7" hidden="1">7</definedName>
    <definedName name="solver_num" localSheetId="8" hidden="1">7</definedName>
    <definedName name="solver_nwt" localSheetId="1" hidden="1">1</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nwt" localSheetId="7" hidden="1">1</definedName>
    <definedName name="solver_nwt" localSheetId="8" hidden="1">1</definedName>
    <definedName name="solver_opt" localSheetId="1" hidden="1">LP_Scenario1!$E$25</definedName>
    <definedName name="solver_opt" localSheetId="2" hidden="1">'LP-Scenario2'!$E$25</definedName>
    <definedName name="solver_opt" localSheetId="3" hidden="1">'LP-Scenario2-QualifiedPipe'!$E$35</definedName>
    <definedName name="solver_opt" localSheetId="4" hidden="1">'LP-Scenario2-QualPipe-Scenarios'!$E$35</definedName>
    <definedName name="solver_opt" localSheetId="5" hidden="1">'LP-Scenario3'!$E$25</definedName>
    <definedName name="solver_opt" localSheetId="6" hidden="1">'LP-Scenario4'!$E$25</definedName>
    <definedName name="solver_opt" localSheetId="7" hidden="1">'LP-Scenario5'!$E$25</definedName>
    <definedName name="solver_opt" localSheetId="8" hidden="1">'LP-Scenario6'!$E$25</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pre" localSheetId="7" hidden="1">0.000001</definedName>
    <definedName name="solver_pre" localSheetId="8" hidden="1">0.000001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bv" localSheetId="6" hidden="1">1</definedName>
    <definedName name="solver_rbv" localSheetId="7" hidden="1">1</definedName>
    <definedName name="solver_rbv" localSheetId="8" hidden="1">1</definedName>
    <definedName name="solver_rel1" localSheetId="1" hidden="1">1</definedName>
    <definedName name="solver_rel1" localSheetId="2" hidden="1">1</definedName>
    <definedName name="solver_rel1" localSheetId="3" hidden="1">1</definedName>
    <definedName name="solver_rel1" localSheetId="4" hidden="1">1</definedName>
    <definedName name="solver_rel1" localSheetId="5" hidden="1">1</definedName>
    <definedName name="solver_rel1" localSheetId="6" hidden="1">1</definedName>
    <definedName name="solver_rel1" localSheetId="7" hidden="1">1</definedName>
    <definedName name="solver_rel1" localSheetId="8" hidden="1">1</definedName>
    <definedName name="solver_rel10" localSheetId="3" hidden="1">1</definedName>
    <definedName name="solver_rel10" localSheetId="4" hidden="1">1</definedName>
    <definedName name="solver_rel2" localSheetId="1" hidden="1">1</definedName>
    <definedName name="solver_rel2" localSheetId="2" hidden="1">1</definedName>
    <definedName name="solver_rel2" localSheetId="3" hidden="1">1</definedName>
    <definedName name="solver_rel2" localSheetId="4" hidden="1">1</definedName>
    <definedName name="solver_rel2" localSheetId="5" hidden="1">1</definedName>
    <definedName name="solver_rel2" localSheetId="6" hidden="1">1</definedName>
    <definedName name="solver_rel2" localSheetId="7" hidden="1">1</definedName>
    <definedName name="solver_rel2" localSheetId="8" hidden="1">1</definedName>
    <definedName name="solver_rel3" localSheetId="1" hidden="1">1</definedName>
    <definedName name="solver_rel3" localSheetId="2" hidden="1">1</definedName>
    <definedName name="solver_rel3" localSheetId="3" hidden="1">1</definedName>
    <definedName name="solver_rel3" localSheetId="4" hidden="1">1</definedName>
    <definedName name="solver_rel3" localSheetId="5" hidden="1">1</definedName>
    <definedName name="solver_rel3" localSheetId="6" hidden="1">1</definedName>
    <definedName name="solver_rel3" localSheetId="7" hidden="1">1</definedName>
    <definedName name="solver_rel3" localSheetId="8" hidden="1">1</definedName>
    <definedName name="solver_rel4" localSheetId="1" hidden="1">1</definedName>
    <definedName name="solver_rel4" localSheetId="2" hidden="1">1</definedName>
    <definedName name="solver_rel4" localSheetId="3" hidden="1">1</definedName>
    <definedName name="solver_rel4" localSheetId="4" hidden="1">1</definedName>
    <definedName name="solver_rel4" localSheetId="5" hidden="1">1</definedName>
    <definedName name="solver_rel4" localSheetId="6" hidden="1">1</definedName>
    <definedName name="solver_rel4" localSheetId="7" hidden="1">1</definedName>
    <definedName name="solver_rel4" localSheetId="8" hidden="1">1</definedName>
    <definedName name="solver_rel5" localSheetId="1" hidden="1">1</definedName>
    <definedName name="solver_rel5" localSheetId="2" hidden="1">1</definedName>
    <definedName name="solver_rel5" localSheetId="3" hidden="1">1</definedName>
    <definedName name="solver_rel5" localSheetId="4" hidden="1">1</definedName>
    <definedName name="solver_rel5" localSheetId="5" hidden="1">1</definedName>
    <definedName name="solver_rel5" localSheetId="6" hidden="1">1</definedName>
    <definedName name="solver_rel5" localSheetId="7" hidden="1">1</definedName>
    <definedName name="solver_rel5" localSheetId="8" hidden="1">1</definedName>
    <definedName name="solver_rel6" localSheetId="1" hidden="1">1</definedName>
    <definedName name="solver_rel6" localSheetId="2" hidden="1">1</definedName>
    <definedName name="solver_rel6" localSheetId="3" hidden="1">1</definedName>
    <definedName name="solver_rel6" localSheetId="4" hidden="1">1</definedName>
    <definedName name="solver_rel6" localSheetId="5" hidden="1">1</definedName>
    <definedName name="solver_rel6" localSheetId="6" hidden="1">1</definedName>
    <definedName name="solver_rel6" localSheetId="7" hidden="1">1</definedName>
    <definedName name="solver_rel6" localSheetId="8" hidden="1">1</definedName>
    <definedName name="solver_rel7" localSheetId="1" hidden="1">1</definedName>
    <definedName name="solver_rel7" localSheetId="2" hidden="1">1</definedName>
    <definedName name="solver_rel7" localSheetId="3" hidden="1">1</definedName>
    <definedName name="solver_rel7" localSheetId="4" hidden="1">1</definedName>
    <definedName name="solver_rel7" localSheetId="5" hidden="1">1</definedName>
    <definedName name="solver_rel7" localSheetId="6" hidden="1">1</definedName>
    <definedName name="solver_rel7" localSheetId="7" hidden="1">1</definedName>
    <definedName name="solver_rel7" localSheetId="8" hidden="1">1</definedName>
    <definedName name="solver_rel8" localSheetId="3" hidden="1">1</definedName>
    <definedName name="solver_rel8" localSheetId="4" hidden="1">1</definedName>
    <definedName name="solver_rel9" localSheetId="3" hidden="1">1</definedName>
    <definedName name="solver_rel9" localSheetId="4" hidden="1">1</definedName>
    <definedName name="solver_rhs1" localSheetId="1" hidden="1">LP_Scenario1!$C$30</definedName>
    <definedName name="solver_rhs1" localSheetId="2" hidden="1">'LP-Scenario2'!$C$30</definedName>
    <definedName name="solver_rhs1" localSheetId="3" hidden="1">'LP-Scenario2-QualifiedPipe'!$C$40</definedName>
    <definedName name="solver_rhs1" localSheetId="4" hidden="1">'LP-Scenario2-QualPipe-Scenarios'!$C$40</definedName>
    <definedName name="solver_rhs1" localSheetId="5" hidden="1">'LP-Scenario3'!$C$30</definedName>
    <definedName name="solver_rhs1" localSheetId="6" hidden="1">'LP-Scenario4'!$C$30</definedName>
    <definedName name="solver_rhs1" localSheetId="7" hidden="1">'LP-Scenario5'!$C$30</definedName>
    <definedName name="solver_rhs1" localSheetId="8" hidden="1">'LP-Scenario6'!$C$30</definedName>
    <definedName name="solver_rhs10" localSheetId="3" hidden="1">'LP-Scenario2-QualifiedPipe'!$C$49</definedName>
    <definedName name="solver_rhs10" localSheetId="4" hidden="1">'LP-Scenario2-QualPipe-Scenarios'!$C$49</definedName>
    <definedName name="solver_rhs2" localSheetId="1" hidden="1">LP_Scenario1!$C$31</definedName>
    <definedName name="solver_rhs2" localSheetId="2" hidden="1">'LP-Scenario2'!$C$31</definedName>
    <definedName name="solver_rhs2" localSheetId="3" hidden="1">'LP-Scenario2-QualifiedPipe'!$C$41</definedName>
    <definedName name="solver_rhs2" localSheetId="4" hidden="1">'LP-Scenario2-QualPipe-Scenarios'!$C$41</definedName>
    <definedName name="solver_rhs2" localSheetId="5" hidden="1">'LP-Scenario3'!$C$31</definedName>
    <definedName name="solver_rhs2" localSheetId="6" hidden="1">'LP-Scenario4'!$C$31</definedName>
    <definedName name="solver_rhs2" localSheetId="7" hidden="1">'LP-Scenario5'!$C$31</definedName>
    <definedName name="solver_rhs2" localSheetId="8" hidden="1">'LP-Scenario6'!$C$31</definedName>
    <definedName name="solver_rhs3" localSheetId="1" hidden="1">LP_Scenario1!$C$32</definedName>
    <definedName name="solver_rhs3" localSheetId="2" hidden="1">'LP-Scenario2'!$C$32</definedName>
    <definedName name="solver_rhs3" localSheetId="3" hidden="1">'LP-Scenario2-QualifiedPipe'!$C$42</definedName>
    <definedName name="solver_rhs3" localSheetId="4" hidden="1">'LP-Scenario2-QualPipe-Scenarios'!$C$42</definedName>
    <definedName name="solver_rhs3" localSheetId="5" hidden="1">'LP-Scenario3'!$C$32</definedName>
    <definedName name="solver_rhs3" localSheetId="6" hidden="1">'LP-Scenario4'!$C$32</definedName>
    <definedName name="solver_rhs3" localSheetId="7" hidden="1">'LP-Scenario5'!$C$32</definedName>
    <definedName name="solver_rhs3" localSheetId="8" hidden="1">'LP-Scenario6'!$C$32</definedName>
    <definedName name="solver_rhs4" localSheetId="1" hidden="1">LP_Scenario1!$C$33</definedName>
    <definedName name="solver_rhs4" localSheetId="2" hidden="1">'LP-Scenario2'!$C$33</definedName>
    <definedName name="solver_rhs4" localSheetId="3" hidden="1">'LP-Scenario2-QualifiedPipe'!$C$43</definedName>
    <definedName name="solver_rhs4" localSheetId="4" hidden="1">'LP-Scenario2-QualPipe-Scenarios'!$C$43</definedName>
    <definedName name="solver_rhs4" localSheetId="5" hidden="1">'LP-Scenario3'!$C$33</definedName>
    <definedName name="solver_rhs4" localSheetId="6" hidden="1">'LP-Scenario4'!$C$33</definedName>
    <definedName name="solver_rhs4" localSheetId="7" hidden="1">'LP-Scenario5'!$C$33</definedName>
    <definedName name="solver_rhs4" localSheetId="8" hidden="1">'LP-Scenario6'!$C$33</definedName>
    <definedName name="solver_rhs5" localSheetId="1" hidden="1">LP_Scenario1!$C$34</definedName>
    <definedName name="solver_rhs5" localSheetId="2" hidden="1">'LP-Scenario2'!$C$34</definedName>
    <definedName name="solver_rhs5" localSheetId="3" hidden="1">'LP-Scenario2-QualifiedPipe'!$C$44</definedName>
    <definedName name="solver_rhs5" localSheetId="4" hidden="1">'LP-Scenario2-QualPipe-Scenarios'!$C$44</definedName>
    <definedName name="solver_rhs5" localSheetId="5" hidden="1">'LP-Scenario3'!$C$34</definedName>
    <definedName name="solver_rhs5" localSheetId="6" hidden="1">'LP-Scenario4'!$C$34</definedName>
    <definedName name="solver_rhs5" localSheetId="7" hidden="1">'LP-Scenario5'!$C$34</definedName>
    <definedName name="solver_rhs5" localSheetId="8" hidden="1">'LP-Scenario6'!$C$34</definedName>
    <definedName name="solver_rhs6" localSheetId="1" hidden="1">LP_Scenario1!$C$35</definedName>
    <definedName name="solver_rhs6" localSheetId="2" hidden="1">'LP-Scenario2'!$C$35</definedName>
    <definedName name="solver_rhs6" localSheetId="3" hidden="1">'LP-Scenario2-QualifiedPipe'!$C$45</definedName>
    <definedName name="solver_rhs6" localSheetId="4" hidden="1">'LP-Scenario2-QualPipe-Scenarios'!$C$45</definedName>
    <definedName name="solver_rhs6" localSheetId="5" hidden="1">'LP-Scenario3'!$C$35</definedName>
    <definedName name="solver_rhs6" localSheetId="6" hidden="1">'LP-Scenario4'!$C$35</definedName>
    <definedName name="solver_rhs6" localSheetId="7" hidden="1">'LP-Scenario5'!$C$35</definedName>
    <definedName name="solver_rhs6" localSheetId="8" hidden="1">'LP-Scenario6'!$C$35</definedName>
    <definedName name="solver_rhs7" localSheetId="1" hidden="1">LP_Scenario1!$C$36</definedName>
    <definedName name="solver_rhs7" localSheetId="2" hidden="1">'LP-Scenario2'!$C$36</definedName>
    <definedName name="solver_rhs7" localSheetId="3" hidden="1">'LP-Scenario2-QualifiedPipe'!$C$46</definedName>
    <definedName name="solver_rhs7" localSheetId="4" hidden="1">'LP-Scenario2-QualPipe-Scenarios'!$C$46</definedName>
    <definedName name="solver_rhs7" localSheetId="5" hidden="1">'LP-Scenario3'!$C$36</definedName>
    <definedName name="solver_rhs7" localSheetId="6" hidden="1">'LP-Scenario4'!$C$36</definedName>
    <definedName name="solver_rhs7" localSheetId="7" hidden="1">'LP-Scenario5'!$C$36</definedName>
    <definedName name="solver_rhs7" localSheetId="8" hidden="1">'LP-Scenario6'!$C$36</definedName>
    <definedName name="solver_rhs8" localSheetId="3" hidden="1">'LP-Scenario2-QualifiedPipe'!$C$47</definedName>
    <definedName name="solver_rhs8" localSheetId="4" hidden="1">'LP-Scenario2-QualPipe-Scenarios'!$C$47</definedName>
    <definedName name="solver_rhs9" localSheetId="3" hidden="1">'LP-Scenario2-QualifiedPipe'!$C$48</definedName>
    <definedName name="solver_rhs9" localSheetId="4" hidden="1">'LP-Scenario2-QualPipe-Scenarios'!$C$48</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lx" localSheetId="7" hidden="1">2</definedName>
    <definedName name="solver_rlx" localSheetId="8" hidden="1">2</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rsd" localSheetId="7" hidden="1">0</definedName>
    <definedName name="solver_rsd" localSheetId="8" hidden="1">0</definedName>
    <definedName name="solver_scl" localSheetId="1" hidden="1">1</definedName>
    <definedName name="solver_scl" localSheetId="2" hidden="1">1</definedName>
    <definedName name="solver_scl" localSheetId="3" hidden="1">1</definedName>
    <definedName name="solver_scl" localSheetId="4" hidden="1">1</definedName>
    <definedName name="solver_scl" localSheetId="5" hidden="1">1</definedName>
    <definedName name="solver_scl" localSheetId="6" hidden="1">1</definedName>
    <definedName name="solver_scl" localSheetId="7" hidden="1">1</definedName>
    <definedName name="solver_scl" localSheetId="8" hidden="1">1</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ho" localSheetId="7" hidden="1">2</definedName>
    <definedName name="solver_sho" localSheetId="8" hidden="1">2</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ssz" localSheetId="7" hidden="1">100</definedName>
    <definedName name="solver_ssz" localSheetId="8" hidden="1">100</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6" hidden="1">2147483647</definedName>
    <definedName name="solver_tim" localSheetId="7" hidden="1">2147483647</definedName>
    <definedName name="solver_tim" localSheetId="8" hidden="1">2147483647</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6" hidden="1">0.01</definedName>
    <definedName name="solver_tol" localSheetId="7" hidden="1">0.01</definedName>
    <definedName name="solver_tol" localSheetId="8" hidden="1">0.01</definedName>
    <definedName name="solver_typ" localSheetId="1" hidden="1">1</definedName>
    <definedName name="solver_typ" localSheetId="2" hidden="1">1</definedName>
    <definedName name="solver_typ" localSheetId="3" hidden="1">1</definedName>
    <definedName name="solver_typ" localSheetId="4" hidden="1">1</definedName>
    <definedName name="solver_typ" localSheetId="5" hidden="1">1</definedName>
    <definedName name="solver_typ" localSheetId="6" hidden="1">1</definedName>
    <definedName name="solver_typ" localSheetId="7" hidden="1">1</definedName>
    <definedName name="solver_typ" localSheetId="8" hidden="1">1</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al" localSheetId="7" hidden="1">0</definedName>
    <definedName name="solver_val" localSheetId="8" hidden="1">0</definedName>
    <definedName name="solver_ver" localSheetId="1" hidden="1">3</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6" hidden="1">3</definedName>
    <definedName name="solver_ver" localSheetId="7" hidden="1">3</definedName>
    <definedName name="solver_ver" localSheetId="8"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 l="1"/>
  <c r="E58" i="11"/>
  <c r="C58" i="11"/>
  <c r="E57" i="11"/>
  <c r="E56" i="11"/>
  <c r="E55" i="11"/>
  <c r="E54" i="11"/>
  <c r="C55" i="11"/>
  <c r="C56" i="11"/>
  <c r="C57" i="11"/>
  <c r="C59" i="11"/>
  <c r="C54" i="11"/>
  <c r="E53" i="11"/>
  <c r="C43" i="11"/>
  <c r="D34" i="11"/>
  <c r="C34" i="11"/>
  <c r="B34" i="11"/>
  <c r="D33" i="11"/>
  <c r="C33" i="11"/>
  <c r="B33" i="11"/>
  <c r="D32" i="11"/>
  <c r="C32" i="11"/>
  <c r="B32" i="11"/>
  <c r="D31" i="11"/>
  <c r="C31" i="11"/>
  <c r="B31" i="11"/>
  <c r="D30" i="11"/>
  <c r="C30" i="11"/>
  <c r="B30" i="11"/>
  <c r="D29" i="11"/>
  <c r="C29" i="11"/>
  <c r="B29" i="11"/>
  <c r="D24" i="11"/>
  <c r="C24" i="11"/>
  <c r="B24" i="11"/>
  <c r="E23" i="11"/>
  <c r="E22" i="11"/>
  <c r="E21" i="11"/>
  <c r="E20" i="11"/>
  <c r="E19" i="11"/>
  <c r="E18" i="11"/>
  <c r="E13" i="11"/>
  <c r="D49" i="5"/>
  <c r="D48" i="5"/>
  <c r="D47" i="5"/>
  <c r="D46" i="5"/>
  <c r="D45" i="5"/>
  <c r="D44" i="5"/>
  <c r="D43" i="5"/>
  <c r="D42" i="5"/>
  <c r="E23" i="10"/>
  <c r="E22" i="10"/>
  <c r="E21" i="10"/>
  <c r="D34" i="10"/>
  <c r="C34" i="10"/>
  <c r="B34" i="10"/>
  <c r="D33" i="10"/>
  <c r="C33" i="10"/>
  <c r="B33" i="10"/>
  <c r="D32" i="10"/>
  <c r="C32" i="10"/>
  <c r="B32" i="10"/>
  <c r="B24" i="10"/>
  <c r="C24" i="10"/>
  <c r="D24" i="10"/>
  <c r="E13" i="10"/>
  <c r="C43" i="10"/>
  <c r="D31" i="10"/>
  <c r="C31" i="10"/>
  <c r="B31" i="10"/>
  <c r="D30" i="10"/>
  <c r="C30" i="10"/>
  <c r="B30" i="10"/>
  <c r="D29" i="10"/>
  <c r="C29" i="10"/>
  <c r="B29" i="10"/>
  <c r="E20" i="10"/>
  <c r="E19" i="10"/>
  <c r="E18" i="10"/>
  <c r="E46" i="9"/>
  <c r="C46" i="9"/>
  <c r="E45" i="9"/>
  <c r="C45" i="9"/>
  <c r="E44" i="9"/>
  <c r="C44" i="9"/>
  <c r="E43" i="9"/>
  <c r="C43" i="9"/>
  <c r="E42" i="9"/>
  <c r="C33" i="9"/>
  <c r="D24" i="9"/>
  <c r="C24" i="9"/>
  <c r="B24" i="9"/>
  <c r="D23" i="9"/>
  <c r="C23" i="9"/>
  <c r="B23" i="9"/>
  <c r="D22" i="9"/>
  <c r="C22" i="9"/>
  <c r="B22" i="9"/>
  <c r="D17" i="9"/>
  <c r="C17" i="9"/>
  <c r="B17" i="9"/>
  <c r="E16" i="9"/>
  <c r="E15" i="9"/>
  <c r="E14" i="9"/>
  <c r="E10" i="9"/>
  <c r="E46" i="8"/>
  <c r="C46" i="8"/>
  <c r="E45" i="8"/>
  <c r="C45" i="8"/>
  <c r="E44" i="8"/>
  <c r="C44" i="8"/>
  <c r="E43" i="8"/>
  <c r="C43" i="8"/>
  <c r="E42" i="8"/>
  <c r="C33" i="8"/>
  <c r="D24" i="8"/>
  <c r="C24" i="8"/>
  <c r="B24" i="8"/>
  <c r="D23" i="8"/>
  <c r="C23" i="8"/>
  <c r="B23" i="8"/>
  <c r="D22" i="8"/>
  <c r="C22" i="8"/>
  <c r="B22" i="8"/>
  <c r="D17" i="8"/>
  <c r="C17" i="8"/>
  <c r="B17" i="8"/>
  <c r="E16" i="8"/>
  <c r="E15" i="8"/>
  <c r="E14" i="8"/>
  <c r="E10" i="8"/>
  <c r="E46" i="7"/>
  <c r="E45" i="7"/>
  <c r="E44" i="7"/>
  <c r="E43" i="7"/>
  <c r="E42" i="7"/>
  <c r="C46" i="7"/>
  <c r="C45" i="7"/>
  <c r="C44" i="7"/>
  <c r="C43" i="7"/>
  <c r="C33" i="7"/>
  <c r="D24" i="7"/>
  <c r="C24" i="7"/>
  <c r="B24" i="7"/>
  <c r="D23" i="7"/>
  <c r="C23" i="7"/>
  <c r="B23" i="7"/>
  <c r="D22" i="7"/>
  <c r="C22" i="7"/>
  <c r="B22" i="7"/>
  <c r="D17" i="7"/>
  <c r="C17" i="7"/>
  <c r="B17" i="7"/>
  <c r="E16" i="7"/>
  <c r="E15" i="7"/>
  <c r="E14" i="7"/>
  <c r="E10" i="7"/>
  <c r="C49" i="5"/>
  <c r="C48" i="5"/>
  <c r="C47" i="5"/>
  <c r="C46" i="5"/>
  <c r="C45" i="5"/>
  <c r="C44" i="5"/>
  <c r="C43" i="5"/>
  <c r="C33" i="5"/>
  <c r="D24" i="5"/>
  <c r="C24" i="5"/>
  <c r="B24" i="5"/>
  <c r="D23" i="5"/>
  <c r="C23" i="5"/>
  <c r="B23" i="5"/>
  <c r="D22" i="5"/>
  <c r="C22" i="5"/>
  <c r="B22" i="5"/>
  <c r="D17" i="5"/>
  <c r="C17" i="5"/>
  <c r="B17" i="5"/>
  <c r="E16" i="5"/>
  <c r="E15" i="5"/>
  <c r="E14" i="5"/>
  <c r="E10" i="5"/>
  <c r="C33" i="4"/>
  <c r="D24" i="4"/>
  <c r="C24" i="4"/>
  <c r="B24" i="4"/>
  <c r="D23" i="4"/>
  <c r="C23" i="4"/>
  <c r="B23" i="4"/>
  <c r="D22" i="4"/>
  <c r="C22" i="4"/>
  <c r="B22" i="4"/>
  <c r="D17" i="4"/>
  <c r="C17" i="4"/>
  <c r="B17" i="4"/>
  <c r="E16" i="4"/>
  <c r="E15" i="4"/>
  <c r="E14" i="4"/>
  <c r="E10" i="4"/>
  <c r="E27" i="3"/>
  <c r="E10" i="3"/>
  <c r="D24" i="3"/>
  <c r="C24" i="3"/>
  <c r="B24" i="3"/>
  <c r="D23" i="3"/>
  <c r="C23" i="3"/>
  <c r="B23" i="3"/>
  <c r="D22" i="3"/>
  <c r="C22" i="3"/>
  <c r="B22" i="3"/>
  <c r="D17" i="3"/>
  <c r="C17" i="3"/>
  <c r="B17" i="3"/>
  <c r="E16" i="3"/>
  <c r="E15" i="3"/>
  <c r="E14" i="3"/>
  <c r="E14" i="2"/>
  <c r="E15" i="2"/>
  <c r="E16" i="2"/>
  <c r="B17" i="2"/>
  <c r="C17" i="2"/>
  <c r="D17" i="2"/>
  <c r="B22" i="2"/>
  <c r="C22" i="2"/>
  <c r="D22" i="2"/>
  <c r="E22" i="2"/>
  <c r="B23" i="2"/>
  <c r="C23" i="2"/>
  <c r="D23" i="2"/>
  <c r="E23" i="2"/>
  <c r="B24" i="2"/>
  <c r="C24" i="2"/>
  <c r="D24" i="2"/>
  <c r="B25" i="2"/>
  <c r="C25" i="2"/>
  <c r="D25" i="2"/>
  <c r="B30" i="2"/>
  <c r="B31" i="2"/>
  <c r="B32" i="2"/>
  <c r="B35" i="2"/>
  <c r="E30" i="11" l="1"/>
  <c r="D35" i="11"/>
  <c r="C35" i="11"/>
  <c r="B35" i="11"/>
  <c r="E34" i="11"/>
  <c r="E33" i="11"/>
  <c r="E32" i="11"/>
  <c r="E29" i="11"/>
  <c r="E24" i="11"/>
  <c r="E31" i="11"/>
  <c r="B40" i="11"/>
  <c r="B41" i="11"/>
  <c r="B42" i="11"/>
  <c r="D35" i="10"/>
  <c r="B35" i="10"/>
  <c r="E32" i="10"/>
  <c r="B47" i="10" s="1"/>
  <c r="C35" i="10"/>
  <c r="E34" i="10"/>
  <c r="B49" i="10" s="1"/>
  <c r="E33" i="10"/>
  <c r="B48" i="10" s="1"/>
  <c r="E24" i="10"/>
  <c r="B41" i="10"/>
  <c r="B42" i="10"/>
  <c r="E31" i="10"/>
  <c r="B46" i="10" s="1"/>
  <c r="E29" i="10"/>
  <c r="B40" i="10"/>
  <c r="E30" i="10"/>
  <c r="B45" i="10" s="1"/>
  <c r="D25" i="9"/>
  <c r="C25" i="9"/>
  <c r="B25" i="9"/>
  <c r="E22" i="9"/>
  <c r="E17" i="9"/>
  <c r="B33" i="9" s="1"/>
  <c r="B32" i="9"/>
  <c r="B31" i="9"/>
  <c r="B30" i="9"/>
  <c r="E24" i="9"/>
  <c r="B36" i="9" s="1"/>
  <c r="E23" i="9"/>
  <c r="B35" i="9" s="1"/>
  <c r="B31" i="8"/>
  <c r="C25" i="8"/>
  <c r="B30" i="8"/>
  <c r="D25" i="8"/>
  <c r="E24" i="8"/>
  <c r="B36" i="8" s="1"/>
  <c r="B32" i="8"/>
  <c r="E17" i="8"/>
  <c r="B33" i="8" s="1"/>
  <c r="B25" i="8"/>
  <c r="E23" i="8"/>
  <c r="B35" i="8" s="1"/>
  <c r="E22" i="8"/>
  <c r="C25" i="7"/>
  <c r="E22" i="7"/>
  <c r="B31" i="7"/>
  <c r="B32" i="7"/>
  <c r="E24" i="7"/>
  <c r="B36" i="7" s="1"/>
  <c r="B30" i="7"/>
  <c r="B25" i="7"/>
  <c r="E17" i="7"/>
  <c r="B33" i="7" s="1"/>
  <c r="D25" i="7"/>
  <c r="E23" i="7"/>
  <c r="B35" i="7" s="1"/>
  <c r="E24" i="5"/>
  <c r="C25" i="5"/>
  <c r="E22" i="5"/>
  <c r="D25" i="5"/>
  <c r="B25" i="5"/>
  <c r="E23" i="5"/>
  <c r="E17" i="5"/>
  <c r="B33" i="5" s="1"/>
  <c r="B30" i="5"/>
  <c r="B31" i="5"/>
  <c r="B32" i="5"/>
  <c r="D25" i="4"/>
  <c r="C25" i="4"/>
  <c r="B25" i="4"/>
  <c r="E24" i="4"/>
  <c r="E23" i="4"/>
  <c r="E22" i="4"/>
  <c r="B32" i="4"/>
  <c r="B31" i="4"/>
  <c r="B30" i="4"/>
  <c r="E17" i="4"/>
  <c r="B33" i="4" s="1"/>
  <c r="D25" i="3"/>
  <c r="E17" i="3"/>
  <c r="B33" i="3" s="1"/>
  <c r="B32" i="3"/>
  <c r="B31" i="3"/>
  <c r="B30" i="3"/>
  <c r="C25" i="3"/>
  <c r="B25" i="3"/>
  <c r="E24" i="3"/>
  <c r="B36" i="3" s="1"/>
  <c r="E23" i="3"/>
  <c r="B35" i="3" s="1"/>
  <c r="E22" i="3"/>
  <c r="B34" i="2"/>
  <c r="E17" i="2"/>
  <c r="B33" i="2" s="1"/>
  <c r="E24" i="2"/>
  <c r="B45" i="11" l="1"/>
  <c r="B46" i="11"/>
  <c r="B47" i="11"/>
  <c r="B49" i="11"/>
  <c r="B43" i="11"/>
  <c r="B44" i="11"/>
  <c r="E35" i="11"/>
  <c r="B48" i="11"/>
  <c r="B43" i="10"/>
  <c r="E35" i="10"/>
  <c r="E37" i="10" s="1"/>
  <c r="B44" i="10"/>
  <c r="E25" i="9"/>
  <c r="E27" i="9" s="1"/>
  <c r="B34" i="9"/>
  <c r="E25" i="8"/>
  <c r="E27" i="8" s="1"/>
  <c r="B34" i="8"/>
  <c r="E25" i="7"/>
  <c r="E27" i="7" s="1"/>
  <c r="B34" i="7"/>
  <c r="B34" i="5"/>
  <c r="B36" i="5"/>
  <c r="B35" i="5"/>
  <c r="E25" i="5"/>
  <c r="E27" i="5" s="1"/>
  <c r="B36" i="4"/>
  <c r="B34" i="4"/>
  <c r="E25" i="4"/>
  <c r="B35" i="4"/>
  <c r="E25" i="3"/>
  <c r="B34" i="3"/>
  <c r="E25" i="2"/>
  <c r="B36" i="2"/>
  <c r="E37" i="11" l="1"/>
  <c r="E2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DB501AF9-723F-4B5A-AC98-F48048EB0348}">
      <text>
        <r>
          <rPr>
            <b/>
            <sz val="9"/>
            <color indexed="81"/>
            <rFont val="Tahoma"/>
            <family val="2"/>
          </rPr>
          <t>Anil Jacob:</t>
        </r>
        <r>
          <rPr>
            <sz val="9"/>
            <color indexed="81"/>
            <rFont val="Tahoma"/>
            <family val="2"/>
          </rPr>
          <t xml:space="preserve">
</t>
        </r>
        <r>
          <rPr>
            <sz val="9"/>
            <color indexed="81"/>
            <rFont val="Segoe UI"/>
            <family val="2"/>
          </rPr>
          <t xml:space="preserve">| #  | Inference                                                                                                    
| 1  | Solver prioritized NA_West because it generated the strongest marginal forecast uplift efficiency under RAF and Renewals investment levers.                                                                                                     |
| 2  | Renewals emerged as the most economically attractive mitigation lever due to superior near-term realizable ROI coefficients across all geographies.                                                                                             |
| 3  | RAF investments were fully exhausted immediately, indicating strong acceleration efficiency and high scarcity value of tactical CRR deployment.                                                                                                 |
| 4  | Discounts were deployed tactically only in NA_East after higher-efficiency Renewals opportunities became partially saturated.                                                                                                                   |
| 5  | DACH received zero capital allocation because its ROI coefficients were economically inferior relative to NA geographies under constrained capital conditions.                                                                                  |
| 6  | The optimization model demonstrated that equal regional CRR allocation is economically suboptimal versus concentrated high-efficiency deployment.                                                                                               |
| 7  | Total forecast uplift converged at 8.06M, proving that the currently approved 4M CRR pool is insufficient to fully recover the 9.85M forecast gap.                                                                                              |
| 8  | Approximately 1.78M residual forecast exposure remains structurally unresolved under current capital and operational constraints.                                                                                                               |
| 9  | All major CRR resource pools became binding constraints, indicating additional forecast recovery would require incremental RAF or Renewals capacity expansion.                                                                                  |
| 10 | Important Lesson: Linear Programming successfully identified optimal constrained capital deployment strategy, exposed commercial bottlenecks and quantified residual forecast risk more effectively than intuitive equal-allocation approaches.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C24747A5-B5DE-4CAA-BF01-E1D01370D5A0}">
      <text>
        <r>
          <rPr>
            <b/>
            <sz val="9"/>
            <color indexed="81"/>
            <rFont val="Tahoma"/>
            <family val="2"/>
          </rPr>
          <t>Anil Jacob:</t>
        </r>
        <r>
          <rPr>
            <sz val="9"/>
            <color indexed="81"/>
            <rFont val="Tahoma"/>
            <family val="2"/>
          </rPr>
          <t xml:space="preserve">
Inference                                                                                                                                                                                                                                                                                                                                     
| 1  | Increasing RAF capacity from 1.5M → 2.5M fundamentally changed the optimization frontier and nearly eliminated the total forecast gap.                                                                                                                                                                                                        |
| 2  | Scenario 2 proved that RAF scarcity was the primary commercial bottleneck limiting forecast recovery in Scenario 1.                                                                                                                                                                                                                           |
| 3  | Solver aggressively redirected incremental RAF capital into NA_West because it generated the strongest marginal uplift efficiency under expanded resource conditions.                                                                                                                                                                         |
| 4  | NA_West became almost entirely RAF-driven, demonstrating that tactical acceleration funding was more economically attractive than additional Renewals deployment in that geography.                                                                                                                                                           |
| 5  | Renewals allocation shifted heavily toward NA_East because Solver optimized the remaining highest-efficiency recovery opportunities after RAF expansion saturated NA_West uplift capacity.                                                                                                                                                    |
| 6  | DACH entered the optimal solution only after additional RAF capacity reduced pressure on higher-efficiency NA recovery opportunities. This demonstrates expansion of the feasible optimization frontier.                                                                                                                                      |
| 7  | Discounts remained a tactical lever and were deployed only in DACH after higher-efficiency RAF and Renewals opportunities became constrained.                                                                                                                                                                                                 |
| 8  | The optimization model successfully recovered ~99.4% of the total forecast gap leaving only ~56K residual exposure, which is operationally negligible at enterprise forecasting scale.                                                                                                                                                        |
| 9  | All major CRR pools remained binding constraints, indicating additional uplift may still be achievable with further CRR expansion or introduction of new mitigation levers.                                                                                                                                                                   |
| 10 | Important Lesson: Small increases in high-efficiency CRR resources can dramatically alter optimal commercial strategy, resource allocation patterns, regional prioritization and residual forecast risk outcomes. Linear Programming exposed the true economic leverage of RAF expansion more effectively than intuitive planning approaches. |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0F85B180-948B-4920-93D5-B4CF1857EEBA}">
      <text>
        <r>
          <rPr>
            <b/>
            <sz val="9"/>
            <color indexed="81"/>
            <rFont val="Tahoma"/>
            <family val="2"/>
          </rPr>
          <t>Anil Jacob:</t>
        </r>
        <r>
          <rPr>
            <sz val="9"/>
            <color indexed="81"/>
            <rFont val="Tahoma"/>
            <family val="2"/>
          </rPr>
          <t xml:space="preserve">
Inference                                                                                                                                                                                                                                                                                                                                     
| 1  | Increasing RAF capacity from 1.5M → 2.5M fundamentally changed the optimization frontier and nearly eliminated the total forecast gap.                                                                                                                                                                                                        |
| 2  | Scenario 2 proved that RAF scarcity was the primary commercial bottleneck limiting forecast recovery in Scenario 1.                                                                                                                                                                                                                           |
| 3  | Solver aggressively redirected incremental RAF capital into NA_West because it generated the strongest marginal uplift efficiency under expanded resource conditions.                                                                                                                                                                         |
| 4  | NA_West became almost entirely RAF-driven, demonstrating that tactical acceleration funding was more economically attractive than additional Renewals deployment in that geography.                                                                                                                                                           |
| 5  | Renewals allocation shifted heavily toward NA_East because Solver optimized the remaining highest-efficiency recovery opportunities after RAF expansion saturated NA_West uplift capacity.                                                                                                                                                    |
| 6  | DACH entered the optimal solution only after additional RAF capacity reduced pressure on higher-efficiency NA recovery opportunities. This demonstrates expansion of the feasible optimization frontier.                                                                                                                                      |
| 7  | Discounts remained a tactical lever and were deployed only in DACH after higher-efficiency RAF and Renewals opportunities became constrained.                                                                                                                                                                                                 |
| 8  | The optimization model successfully recovered ~99.4% of the total forecast gap leaving only ~56K residual exposure, which is operationally negligible at enterprise forecasting scale.                                                                                                                                                        |
| 9  | All major CRR pools remained binding constraints, indicating additional uplift may still be achievable with further CRR expansion or introduction of new mitigation levers.                                                                                                                                                                   |
| 10 | Important Lesson: Small increases in high-efficiency CRR resources can dramatically alter optimal commercial strategy, resource allocation patterns, regional prioritization and residual forecast risk outcomes. Linear Programming exposed the true economic leverage of RAF expansion more effectively than intuitive planning approaches.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79BE13A8-2444-42F5-B71C-D06837EDCD64}">
      <text>
        <r>
          <rPr>
            <b/>
            <sz val="9"/>
            <color indexed="81"/>
            <rFont val="Tahoma"/>
            <family val="2"/>
          </rPr>
          <t>Anil Jacob:</t>
        </r>
        <r>
          <rPr>
            <sz val="9"/>
            <color indexed="81"/>
            <rFont val="Tahoma"/>
            <family val="2"/>
          </rPr>
          <t xml:space="preserve">
Inference                                                                                                                                                                                                                                                                                                                                     
| 1  | Increasing RAF capacity from 1.5M → 2.5M fundamentally changed the optimization frontier and nearly eliminated the total forecast gap.                                                                                                                                                                                                        |
| 2  | Scenario 2 proved that RAF scarcity was the primary commercial bottleneck limiting forecast recovery in Scenario 1.                                                                                                                                                                                                                           |
| 3  | Solver aggressively redirected incremental RAF capital into NA_West because it generated the strongest marginal uplift efficiency under expanded resource conditions.                                                                                                                                                                         |
| 4  | NA_West became almost entirely RAF-driven, demonstrating that tactical acceleration funding was more economically attractive than additional Renewals deployment in that geography.                                                                                                                                                           |
| 5  | Renewals allocation shifted heavily toward NA_East because Solver optimized the remaining highest-efficiency recovery opportunities after RAF expansion saturated NA_West uplift capacity.                                                                                                                                                    |
| 6  | DACH entered the optimal solution only after additional RAF capacity reduced pressure on higher-efficiency NA recovery opportunities. This demonstrates expansion of the feasible optimization frontier.                                                                                                                                      |
| 7  | Discounts remained a tactical lever and were deployed only in DACH after higher-efficiency RAF and Renewals opportunities became constrained.                                                                                                                                                                                                 |
| 8  | The optimization model successfully recovered ~99.4% of the total forecast gap leaving only ~56K residual exposure, which is operationally negligible at enterprise forecasting scale.                                                                                                                                                        |
| 9  | All major CRR pools remained binding constraints, indicating additional uplift may still be achievable with further CRR expansion or introduction of new mitigation levers.                                                                                                                                                                   |
| 10 | Important Lesson: Small increases in high-efficiency CRR resources can dramatically alter optimal commercial strategy, resource allocation patterns, regional prioritization and residual forecast risk outcomes. Linear Programming exposed the true economic leverage of RAF expansion more effectively than intuitive planning approaches. |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3399FDAC-7BA3-444F-988D-DEB225739A7A}">
      <text>
        <r>
          <rPr>
            <b/>
            <sz val="9"/>
            <color indexed="81"/>
            <rFont val="Tahoma"/>
            <family val="2"/>
          </rPr>
          <t>Anil Jacob:</t>
        </r>
        <r>
          <rPr>
            <sz val="9"/>
            <color indexed="81"/>
            <rFont val="Tahoma"/>
            <family val="2"/>
          </rPr>
          <t xml:space="preserve">
#  | Inference                                                                                                                                                                                                                                                            
| 1  | Discount-only optimization produced materially inferior forecast recovery efficiency compared to blended CRR deployment strategies.                                                                                                                                  |
| 2  | Even after expanding discount investment capacity to 5M, Solver recovered only 6.88M of the 9.85M forecast gap leaving ~2.97M unresolved.                                                                                                                            |
| 3  | Solver concentrated nearly all discount deployment into NA_West because that geography produced the strongest marginal discount realization efficiency.                                                                                                              |
| 4  | NA_East received only partial allocation after NA_West gap saturation while DACH received zero investment due to structurally inferior discount ROI economics.                                                                                                       |
| 5  | The implied uplift efficiency of ~1.38x demonstrates weak capital productivity relative to RAF and Renewals-based mitigation strategies.                                                                                                                             |
| 6  | Scenario 3 validates that discounting functions effectively as a tactical conversion accelerator but not as a scalable primary forecast recovery mechanism.                                                                                                          |
| 7  | Solver mathematically proved that aggressive discount expansion alone cannot economically recover the full forecast gap under current ROI assumptions.                                                                                                               |
| 8  | Increasing discount investment beyond 5M eventually closes the forecast gap mathematically but produces economically unattractive returns (~1.23x at 8M spend).                                                                                                      |
| 9  | Heavy dependency on discount-led recovery introduces finance governance concerns including margin deterioration, low-quality revenue creation and long-term pricing integrity erosion.                                                                               |
| 10 | Scenario 3 demonstrates that feasible optimization solutions are not necessarily strategically acceptable from a corporate finance perspective.                                                                                                                      |
| 11 | The scenario highlights the importance of evaluating not only forecast recovery magnitude but also capital efficiency and quality of uplift generated.                                                                                                               |
| 12 | Important Lesson: Linear Programming exposed the structural weakness of discount-led commercial recovery strategies and demonstrated why organizations prioritize higher-efficiency levers such as RAF and Renewals before deploying aggressive pricing concessions. |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B2E0D7CE-32E2-47E1-A312-2CE239278095}">
      <text>
        <r>
          <rPr>
            <b/>
            <sz val="9"/>
            <color indexed="81"/>
            <rFont val="Tahoma"/>
            <family val="2"/>
          </rPr>
          <t>Anil Jacob:</t>
        </r>
        <r>
          <rPr>
            <sz val="9"/>
            <color indexed="81"/>
            <rFont val="Tahoma"/>
            <family val="2"/>
          </rPr>
          <t xml:space="preserve">
#  | Inference                                                                                                                                                                                                                                                            
| 1  | Discount-only optimization produced materially inferior forecast recovery efficiency compared to blended CRR deployment strategies.                                                                                                                                  |
| 2  | Even after expanding discount investment capacity to 5M, Solver recovered only 6.88M of the 9.85M forecast gap leaving ~2.97M unresolved.                                                                                                                            |
| 3  | Solver concentrated nearly all discount deployment into NA_West because that geography produced the strongest marginal discount realization efficiency.                                                                                                              |
| 4  | NA_East received only partial allocation after NA_West gap saturation while DACH received zero investment due to structurally inferior discount ROI economics.                                                                                                       |
| 5  | The implied uplift efficiency of ~1.38x demonstrates weak capital productivity relative to RAF and Renewals-based mitigation strategies.                                                                                                                             |
| 6  | Scenario 3 validates that discounting functions effectively as a tactical conversion accelerator but not as a scalable primary forecast recovery mechanism.                                                                                                          |
| 7  | Solver mathematically proved that aggressive discount expansion alone cannot economically recover the full forecast gap under current ROI assumptions.                                                                                                               |
| 8  | Increasing discount investment beyond 5M eventually closes the forecast gap mathematically but produces economically unattractive returns (~1.23x at 8M spend).                                                                                                      |
| 9  | Heavy dependency on discount-led recovery introduces finance governance concerns including margin deterioration, low-quality revenue creation and long-term pricing integrity erosion.                                                                               |
| 10 | Scenario 3 demonstrates that feasible optimization solutions are not necessarily strategically acceptable from a corporate finance perspective.                                                                                                                      |
| 11 | The scenario highlights the importance of evaluating not only forecast recovery magnitude but also capital efficiency and quality of uplift generated.                                                                                                               |
| 12 | Important Lesson: Linear Programming exposed the structural weakness of discount-led commercial recovery strategies and demonstrated why organizations prioritize higher-efficiency levers such as RAF and Renewals before deploying aggressive pricing concessions. |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7A27A33F-3D3B-4B80-861A-05F8F488930A}">
      <text>
        <r>
          <rPr>
            <b/>
            <sz val="9"/>
            <color indexed="81"/>
            <rFont val="Tahoma"/>
            <family val="2"/>
          </rPr>
          <t>Anil Jacob:</t>
        </r>
        <r>
          <rPr>
            <sz val="9"/>
            <color indexed="81"/>
            <rFont val="Tahoma"/>
            <family val="2"/>
          </rPr>
          <t xml:space="preserve">
#  | Inference                                                                                                                                                                                                                                                            
| 1  | Discount-only optimization produced materially inferior forecast recovery efficiency compared to blended CRR deployment strategies.                                                                                                                                  |
| 2  | Even after expanding discount investment capacity to 5M, Solver recovered only 6.88M of the 9.85M forecast gap leaving ~2.97M unresolved.                                                                                                                            |
| 3  | Solver concentrated nearly all discount deployment into NA_West because that geography produced the strongest marginal discount realization efficiency.                                                                                                              |
| 4  | NA_East received only partial allocation after NA_West gap saturation while DACH received zero investment due to structurally inferior discount ROI economics.                                                                                                       |
| 5  | The implied uplift efficiency of ~1.38x demonstrates weak capital productivity relative to RAF and Renewals-based mitigation strategies.                                                                                                                             |
| 6  | Scenario 3 validates that discounting functions effectively as a tactical conversion accelerator but not as a scalable primary forecast recovery mechanism.                                                                                                          |
| 7  | Solver mathematically proved that aggressive discount expansion alone cannot economically recover the full forecast gap under current ROI assumptions.                                                                                                               |
| 8  | Increasing discount investment beyond 5M eventually closes the forecast gap mathematically but produces economically unattractive returns (~1.23x at 8M spend).                                                                                                      |
| 9  | Heavy dependency on discount-led recovery introduces finance governance concerns including margin deterioration, low-quality revenue creation and long-term pricing integrity erosion.                                                                               |
| 10 | Scenario 3 demonstrates that feasible optimization solutions are not necessarily strategically acceptable from a corporate finance perspective.                                                                                                                      |
| 11 | The scenario highlights the importance of evaluating not only forecast recovery magnitude but also capital efficiency and quality of uplift generated.                                                                                                               |
| 12 | Important Lesson: Linear Programming exposed the structural weakness of discount-led commercial recovery strategies and demonstrated why organizations prioritize higher-efficiency levers such as RAF and Renewals before deploying aggressive pricing concessions. |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AD449018-F41C-4C9E-8446-5C528D7BAE5C}">
      <text>
        <r>
          <rPr>
            <b/>
            <sz val="9"/>
            <color indexed="81"/>
            <rFont val="Tahoma"/>
            <family val="2"/>
          </rPr>
          <t>Anil Jacob:</t>
        </r>
        <r>
          <rPr>
            <sz val="9"/>
            <color indexed="81"/>
            <rFont val="Tahoma"/>
            <family val="2"/>
          </rPr>
          <t xml:space="preserve">
#  | Inference                                                                                                                                                                                                                                                                                
| 1  | RAF-only optimization successfully achieved complete enterprise forecast gap recovery without requiring support from Renewals or Discounts.                                                                                                                                              |
| 2  | Solver demonstrated that RAF functions as a highly scalable commercial acceleration engine capable of driving recovery across all geographies simultaneously.                                                                                                                            |
| 3  | The model achieved full 9.85M forecast recovery using 5.42M of RAF investment with an effective uplift efficiency of ~1.82x.                                                                                                                                                             |
| 4  | Unlike discount-led strategies, RAF-based recovery preserved revenue quality, pricing integrity and governance posture while still delivering full forecast attainment.                                                                                                                  |
| 5  | Solver sequentially allocated RAF capital across NA_West, NA_East and DACH according to marginal uplift efficiency until all geographic forecast gaps were completely saturated.                                                                                                         |
| 6  | Scenario 6 demonstrates that RAF scales more effectively across geographies than Renewals because RAF is not constrained by finite renewable ARR pools or contract timing limitations.                                                                                                   |
| 7  | NA_West received the largest RAF allocation because it generated the strongest marginal uplift efficiency under the RAF coefficient structure.                                                                                                                                           |
| 8  | DACH achieved complete forecast recovery only after sufficient RAF pool expansion broadened the feasible optimization frontier beyond higher-efficiency NA recovery opportunities.                                                                                                       |
| 9  | The scenario mathematically validates RAF as the strongest standalone scalability mechanism among all tested mitigation levers.                                                                                                                                                          |
| 10 | Compared to Renewals-only optimization, RAF required higher capital intensity but provided materially stronger enterprise-wide scalability and complete geographic recovery coverage.                                                                                                    |
| 11 | Scenario 6 confirms that RAF investments behave as operational acceleration catalysts rather than margin-destructive commercial concessions, making them strategically superior to aggressive discount-led mitigation approaches.                                                        
|
| 12 | Important Lesson: Linear Programming exposed RAF as the most scalable standalone forecast recovery engine, capable of restoring complete enterprise forecast attainment while maintaining strong governance quality, broad operational flexibility and sustainable commercial economics. |
</t>
        </r>
      </text>
    </comment>
  </commentList>
</comments>
</file>

<file path=xl/sharedStrings.xml><?xml version="1.0" encoding="utf-8"?>
<sst xmlns="http://schemas.openxmlformats.org/spreadsheetml/2006/main" count="1143" uniqueCount="199">
  <si>
    <t>CRR Optimization Model – Q4 FY26 Forecast Mitigation</t>
  </si>
  <si>
    <t>SECTION A — ROI Coefficient Matrix</t>
  </si>
  <si>
    <t>Geography</t>
  </si>
  <si>
    <t>RAF ROI</t>
  </si>
  <si>
    <t>Renewals ROI</t>
  </si>
  <si>
    <t>Discounts ROI</t>
  </si>
  <si>
    <t>Gap to Budget</t>
  </si>
  <si>
    <t>NA_West</t>
  </si>
  <si>
    <t>NA_East</t>
  </si>
  <si>
    <t>DACH</t>
  </si>
  <si>
    <t>SECTION B — Decision Variable Matrix (Solver Input Cells)</t>
  </si>
  <si>
    <t>RAF Invest</t>
  </si>
  <si>
    <t>Renewals Invest</t>
  </si>
  <si>
    <t>Discounts Invest</t>
  </si>
  <si>
    <t>Total Investment</t>
  </si>
  <si>
    <t>TOTAL</t>
  </si>
  <si>
    <t>SECTION C — Forecast Uplift Matrix</t>
  </si>
  <si>
    <t>RAF Lift</t>
  </si>
  <si>
    <t>Renewals Lift</t>
  </si>
  <si>
    <t>Discounts Lift</t>
  </si>
  <si>
    <t>Total Forecast Lift</t>
  </si>
  <si>
    <t>TOTAL UPLIFT</t>
  </si>
  <si>
    <t>SECTION D — Solver Constraints</t>
  </si>
  <si>
    <t>Constraint</t>
  </si>
  <si>
    <t>Formula / Used</t>
  </si>
  <si>
    <t>Limit</t>
  </si>
  <si>
    <t>Total RAF Investment</t>
  </si>
  <si>
    <t>Total Renewals Investment</t>
  </si>
  <si>
    <t>Total Discount Investment</t>
  </si>
  <si>
    <t>Total CRR Allocation</t>
  </si>
  <si>
    <t>NA_West Lift</t>
  </si>
  <si>
    <t>NA_East Lift</t>
  </si>
  <si>
    <t>DACH Lift</t>
  </si>
  <si>
    <r>
      <rPr>
        <b/>
        <sz val="10"/>
        <color theme="1"/>
        <rFont val="Segoe UI"/>
        <family val="2"/>
      </rPr>
      <t xml:space="preserve">Business Scenario:
</t>
    </r>
    <r>
      <rPr>
        <sz val="10"/>
        <color theme="1"/>
        <rFont val="Segoe UI"/>
        <family val="2"/>
      </rPr>
      <t xml:space="preserve">At the end of March FY26 Q3 reporting cycle, Qualified Pipeline Forecast indicates:
• Forecast: </t>
    </r>
    <r>
      <rPr>
        <b/>
        <sz val="10"/>
        <color theme="1"/>
        <rFont val="Segoe UI"/>
        <family val="2"/>
      </rPr>
      <t>148M</t>
    </r>
    <r>
      <rPr>
        <sz val="10"/>
        <color theme="1"/>
        <rFont val="Segoe UI"/>
        <family val="2"/>
      </rPr>
      <t xml:space="preserve">
• Budget: </t>
    </r>
    <r>
      <rPr>
        <b/>
        <sz val="10"/>
        <color theme="1"/>
        <rFont val="Segoe UI"/>
        <family val="2"/>
      </rPr>
      <t>160M</t>
    </r>
    <r>
      <rPr>
        <sz val="10"/>
        <color theme="1"/>
        <rFont val="Segoe UI"/>
        <family val="2"/>
      </rPr>
      <t xml:space="preserve">
• Gap to Budget (VTB): </t>
    </r>
    <r>
      <rPr>
        <sz val="10"/>
        <color rgb="FFFF0000"/>
        <rFont val="Segoe UI"/>
        <family val="2"/>
      </rPr>
      <t>-12M</t>
    </r>
    <r>
      <rPr>
        <sz val="10"/>
        <color theme="1"/>
        <rFont val="Segoe UI"/>
        <family val="2"/>
      </rPr>
      <t xml:space="preserve">
• Attainment: </t>
    </r>
    <r>
      <rPr>
        <sz val="10"/>
        <color rgb="FFFF0000"/>
        <rFont val="Segoe UI"/>
        <family val="2"/>
      </rPr>
      <t>92.5%</t>
    </r>
    <r>
      <rPr>
        <sz val="10"/>
        <color theme="1"/>
        <rFont val="Segoe UI"/>
        <family val="2"/>
      </rPr>
      <t xml:space="preserve">
The top 3 underperforming geographies (NA_West, NA_East, DACH) contribute ~9.85M of the total gap.
Management has approved tactical CRR deployment to accelerate Q4 forecast realization.
</t>
    </r>
    <r>
      <rPr>
        <b/>
        <sz val="10"/>
        <color theme="1"/>
        <rFont val="Segoe UI"/>
        <family val="2"/>
      </rPr>
      <t>Optimization Goal</t>
    </r>
    <r>
      <rPr>
        <sz val="10"/>
        <color theme="1"/>
        <rFont val="Segoe UI"/>
        <family val="2"/>
      </rPr>
      <t xml:space="preserve">:
Maximize Incremental Forecast Lift through optimal allocation of limited CRR capital
across selected geographies and investment levers while respecting operational and governance constraints.
</t>
    </r>
    <r>
      <rPr>
        <b/>
        <sz val="10"/>
        <color theme="1"/>
        <rFont val="Segoe UI"/>
        <family val="2"/>
      </rPr>
      <t>Decision Variables:</t>
    </r>
    <r>
      <rPr>
        <sz val="10"/>
        <color theme="1"/>
        <rFont val="Segoe UI"/>
        <family val="2"/>
      </rPr>
      <t xml:space="preserve">
The Solver decision variables represent CRR investment allocations by Geography × Investment Lever.
Solver will determine the optimal capital deployment mix to maximize total forecast uplift.</t>
    </r>
  </si>
  <si>
    <t>Scenario ID</t>
  </si>
  <si>
    <t>Binding Constraints</t>
  </si>
  <si>
    <t>S1</t>
  </si>
  <si>
    <t>Field</t>
  </si>
  <si>
    <t>Details</t>
  </si>
  <si>
    <t>Scenario Description</t>
  </si>
  <si>
    <t>Baseline Q4 FY26 CRR Optimization – Initial Solver Run</t>
  </si>
  <si>
    <t>Optimization Goal</t>
  </si>
  <si>
    <t>Maximize Q4 Incremental Forecast Lift under constrained CRR resources</t>
  </si>
  <si>
    <t>Total Gap to Budget</t>
  </si>
  <si>
    <t>Total Available CRR</t>
  </si>
  <si>
    <t>Total Forecast Uplift Achieved</t>
  </si>
  <si>
    <t>Residual Forecast Risk Remaining</t>
  </si>
  <si>
    <t>Solver Outcome</t>
  </si>
  <si>
    <t>Partial gap recovery achieved under constrained capital conditions</t>
  </si>
  <si>
    <t xml:space="preserve">Scenario S1: </t>
  </si>
  <si>
    <t>Baseline CRR Optimization</t>
  </si>
  <si>
    <t>Decision Variable Alloctaions</t>
  </si>
  <si>
    <t>Forecast Uplift Generated</t>
  </si>
  <si>
    <t>Observation</t>
  </si>
  <si>
    <t>RAF Pool</t>
  </si>
  <si>
    <t>Fully exhausted</t>
  </si>
  <si>
    <t>Renewals Pool</t>
  </si>
  <si>
    <t>Discount Pool</t>
  </si>
  <si>
    <t>NA_West Gap Constraint</t>
  </si>
  <si>
    <t>Fully saturated</t>
  </si>
  <si>
    <t xml:space="preserve">Objective function (Expanded) </t>
  </si>
  <si>
    <t>Maximize Total Forecast Lift Z =</t>
  </si>
  <si>
    <t>(2.0 × NA_West RAF Investment)</t>
  </si>
  <si>
    <t>+</t>
  </si>
  <si>
    <t>(2.4 × NA_West Renewals Investment)</t>
  </si>
  <si>
    <t>(1.4 × NA_West Discounts Investment)</t>
  </si>
  <si>
    <t>(1.7 × NA_East RAF Investment)</t>
  </si>
  <si>
    <t>(2.2 × NA_East Renewals Investment)</t>
  </si>
  <si>
    <t>(1.3 × NA_East Discounts Investment)</t>
  </si>
  <si>
    <t>(1.5 × DACH RAF Investment)</t>
  </si>
  <si>
    <t>(2.0 × DACH Renewals Investment)</t>
  </si>
  <si>
    <t>(1.2 × DACH Discounts Investment)</t>
  </si>
  <si>
    <t>Total</t>
  </si>
  <si>
    <t>Delta to Gap</t>
  </si>
  <si>
    <t>Decision Variable Allocations</t>
  </si>
  <si>
    <t>S2</t>
  </si>
  <si>
    <t>Expanded RAF Capacity – Incremental CRR Optimization</t>
  </si>
  <si>
    <t>Evaluate whether increased RAF capacity can materially reduce residual forecast exposure</t>
  </si>
  <si>
    <t>RAF Pool Increase</t>
  </si>
  <si>
    <t>1.5M → 2.5M</t>
  </si>
  <si>
    <t>Near-complete forecast gap recovery achieved</t>
  </si>
  <si>
    <t xml:space="preserve">Scenario S2: </t>
  </si>
  <si>
    <t>Expanded RAF Capacity Optimization</t>
  </si>
  <si>
    <t>NA_East Gap Constraint</t>
  </si>
  <si>
    <t>DACH Gap Constraint</t>
  </si>
  <si>
    <t>Residual recoverable uplift still available</t>
  </si>
  <si>
    <t>Non-Binding Constraints</t>
  </si>
  <si>
    <t xml:space="preserve">Scenario S3: </t>
  </si>
  <si>
    <t>Discounts-Only Strategy</t>
  </si>
  <si>
    <t>S3</t>
  </si>
  <si>
    <t>Discounts-Only Forecast Recovery Optimization</t>
  </si>
  <si>
    <t>Strategic Question</t>
  </si>
  <si>
    <t>Can aggressive deal discounting independently recover the Q4 forecast gap without RAF or Renewals investment support?</t>
  </si>
  <si>
    <t>Maximize forecast uplift using only discount-driven commercial acceleration</t>
  </si>
  <si>
    <t>Total Available Discount Investment</t>
  </si>
  <si>
    <t>RAF Investment Constraint</t>
  </si>
  <si>
    <t>Forced to 0</t>
  </si>
  <si>
    <t>Renewals Investment Constraint</t>
  </si>
  <si>
    <t>Implied Discount Recovery Efficiency</t>
  </si>
  <si>
    <t>1.38x</t>
  </si>
  <si>
    <t>Partial forecast recovery achieved but with materially weak capital efficiency</t>
  </si>
  <si>
    <t>Significant recoverable gap still remains</t>
  </si>
  <si>
    <t>No discount allocation economically justified</t>
  </si>
  <si>
    <t>RAF Constraint</t>
  </si>
  <si>
    <t>Forced inactive by scenario design</t>
  </si>
  <si>
    <t>Renewals Constraint</t>
  </si>
  <si>
    <t>Scenario</t>
  </si>
  <si>
    <t>Incremental Lift</t>
  </si>
  <si>
    <t>Marginal ROI</t>
  </si>
  <si>
    <t>Scenario (Discount Pool)</t>
  </si>
  <si>
    <t>S4A - 1M</t>
  </si>
  <si>
    <t>S4B - 2M</t>
  </si>
  <si>
    <t>S4C - 3M</t>
  </si>
  <si>
    <t>S4D - 4M</t>
  </si>
  <si>
    <t>S4E - 5M</t>
  </si>
  <si>
    <t>vs. Gap</t>
  </si>
  <si>
    <t>S4</t>
  </si>
  <si>
    <t>Renewals-Only Forecast Recovery Optimization</t>
  </si>
  <si>
    <t>Can installed-base renewal acceleration independently recover the Q4 forecast gap with superior capital efficiency?</t>
  </si>
  <si>
    <t>Maximize forecast uplift using only renewal pull-forward investments</t>
  </si>
  <si>
    <t>Total Available Renewals Investment Pool</t>
  </si>
  <si>
    <t>Discount Investment Constraint</t>
  </si>
  <si>
    <t>Effective Portfolio ROI</t>
  </si>
  <si>
    <t>2.27x</t>
  </si>
  <si>
    <t>Near-complete forecast recovery achieved with the strongest capital efficiency observed across all standalone mitigation strategies</t>
  </si>
  <si>
    <t>Total Renewals Investment Pool</t>
  </si>
  <si>
    <t>Small residual recoverable uplift still available</t>
  </si>
  <si>
    <t>Discounts Constraint</t>
  </si>
  <si>
    <t>Renewals - Only Forecast Recovery Strategy</t>
  </si>
  <si>
    <t>S5A - 1M</t>
  </si>
  <si>
    <t>S5B - 2M</t>
  </si>
  <si>
    <t>S5C - 3M</t>
  </si>
  <si>
    <t>S5E - 5M</t>
  </si>
  <si>
    <t>S5D - 4M</t>
  </si>
  <si>
    <t>S6</t>
  </si>
  <si>
    <t>RAF-Only Forecast Recovery Optimization</t>
  </si>
  <si>
    <t>Can RAF investment independently recover the entire Q4 forecast gap without support from Renewals or Discounts?</t>
  </si>
  <si>
    <t>Maximize forecast uplift using only RAF-driven commercial acceleration investments</t>
  </si>
  <si>
    <t>Total Available RAF Investment Pool</t>
  </si>
  <si>
    <t>1.82x</t>
  </si>
  <si>
    <t>Complete enterprise forecast gap recovery achieved using RAF as the sole mitigation lever</t>
  </si>
  <si>
    <t>RAF - Only Recovery Strategy</t>
  </si>
  <si>
    <t>RAF Investment Pool</t>
  </si>
  <si>
    <t>Nearly fully exhausted</t>
  </si>
  <si>
    <t>RAF Pool Ceiling</t>
  </si>
  <si>
    <t>Small residual capacity still available (~78K unused)</t>
  </si>
  <si>
    <t xml:space="preserve">Subject to: </t>
  </si>
  <si>
    <t>Total RAF Investment ≤ 5,500,000</t>
  </si>
  <si>
    <t>Renewals Investment = 0</t>
  </si>
  <si>
    <t>Discount Investment = 0</t>
  </si>
  <si>
    <t>UKI</t>
  </si>
  <si>
    <t>India</t>
  </si>
  <si>
    <t>ANZ</t>
  </si>
  <si>
    <t>S3A - 1M</t>
  </si>
  <si>
    <t>S3B - 2M</t>
  </si>
  <si>
    <t>S3C - 3M</t>
  </si>
  <si>
    <t>S3D - 4M</t>
  </si>
  <si>
    <t>S3E - 5M</t>
  </si>
  <si>
    <t>S3F - 6M</t>
  </si>
  <si>
    <t>S3G - 7M</t>
  </si>
  <si>
    <t>S3H - 8M</t>
  </si>
  <si>
    <t xml:space="preserve">Scenario S2-Qualified Pipe: </t>
  </si>
  <si>
    <t>Enterprise Portfolio Optimization (Multi-Geo CRR Allocation)</t>
  </si>
  <si>
    <t>S7</t>
  </si>
  <si>
    <t>Enterprise-Wide CRR Portfolio Optimization Across Global Geographies</t>
  </si>
  <si>
    <t>Can enterprise-wide forecast recovery be achieved through optimized RAF and Renewals allocation without requiring discount-led mitigation?</t>
  </si>
  <si>
    <t>Maximize global forecast uplift across all material geographies using constrained CRR deployment</t>
  </si>
  <si>
    <t>Total Enterprise Gap to Budget</t>
  </si>
  <si>
    <t>Total Available CRR Pool</t>
  </si>
  <si>
    <t>Renewals Investment Pool</t>
  </si>
  <si>
    <t>Discounts Investment Pool</t>
  </si>
  <si>
    <t>Total CRR Utilized</t>
  </si>
  <si>
    <t>Unused CRR Capacity Remaining</t>
  </si>
  <si>
    <t>1.98x</t>
  </si>
  <si>
    <t>Complete enterprise forecast recovery achieved without utilizing discount investments</t>
  </si>
  <si>
    <t>UKI Gap Constraint</t>
  </si>
  <si>
    <t>India Gap Constraint</t>
  </si>
  <si>
    <t>ANZ Gap Constraint</t>
  </si>
  <si>
    <t>Discount Investment Pool</t>
  </si>
  <si>
    <t>Completely unused</t>
  </si>
  <si>
    <t>Total RAF Investment Pool</t>
  </si>
  <si>
    <t>Small residual capacity remaining</t>
  </si>
  <si>
    <t>Significant residual capacity remaining (~1.0M unused)</t>
  </si>
  <si>
    <t>(1.6 × UKI RAF Investment)</t>
  </si>
  <si>
    <t>(2.1 × UKI Renewals Investment)</t>
  </si>
  <si>
    <t>(1.8 × India RAF Investment)</t>
  </si>
  <si>
    <t>(2.0 × India Renewals Investment)</t>
  </si>
  <si>
    <t>(1.6 × ANZ RAF Investment)</t>
  </si>
  <si>
    <t>(2.1 × ANZ Renewals Investment)</t>
  </si>
  <si>
    <t>(1.2 × UKI Discounts Investment)</t>
  </si>
  <si>
    <t>(1.3 × India Discounts Investment)</t>
  </si>
  <si>
    <t>(1.2 × ANZ Discounts Investment)</t>
  </si>
  <si>
    <t>S2A - 1M</t>
  </si>
  <si>
    <t>S2B - 2M</t>
  </si>
  <si>
    <t>S2C - 3M</t>
  </si>
  <si>
    <t>S2D - 4M</t>
  </si>
  <si>
    <t>S2E - 5M</t>
  </si>
  <si>
    <t>S2F - 6M</t>
  </si>
  <si>
    <t>S2G - 7M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</si>
</sst>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M&quot;"/>
    <numFmt numFmtId="166" formatCode="#,##0.00,,&quot;M&quot;"/>
  </numFmts>
  <fonts count="13" x14ac:knownFonts="1">
    <font>
      <sz val="11"/>
      <color theme="1"/>
      <name val="Calibri"/>
      <family val="2"/>
      <scheme val="minor"/>
    </font>
    <font>
      <b/>
      <sz val="16"/>
      <name val="Segoe UI"/>
      <family val="2"/>
    </font>
    <font>
      <sz val="11"/>
      <color theme="1"/>
      <name val="Segoe UI"/>
      <family val="2"/>
    </font>
    <font>
      <sz val="10"/>
      <color theme="1"/>
      <name val="Segoe UI"/>
      <family val="2"/>
    </font>
    <font>
      <b/>
      <sz val="10"/>
      <name val="Segoe UI"/>
      <family val="2"/>
    </font>
    <font>
      <b/>
      <sz val="10"/>
      <color rgb="FFFFFFFF"/>
      <name val="Segoe UI"/>
      <family val="2"/>
    </font>
    <font>
      <b/>
      <sz val="10"/>
      <color theme="1"/>
      <name val="Segoe UI"/>
      <family val="2"/>
    </font>
    <font>
      <sz val="10"/>
      <color rgb="FFFF0000"/>
      <name val="Segoe UI"/>
      <family val="2"/>
    </font>
    <font>
      <b/>
      <sz val="11"/>
      <color theme="1"/>
      <name val="Calibri"/>
      <family val="2"/>
      <scheme val="minor"/>
    </font>
    <font>
      <b/>
      <sz val="11"/>
      <color theme="1"/>
      <name val="Segoe UI"/>
      <family val="2"/>
    </font>
    <font>
      <sz val="9"/>
      <color indexed="81"/>
      <name val="Tahoma"/>
      <family val="2"/>
    </font>
    <font>
      <b/>
      <sz val="9"/>
      <color indexed="81"/>
      <name val="Tahoma"/>
      <family val="2"/>
    </font>
    <font>
      <sz val="9"/>
      <color indexed="81"/>
      <name val="Segoe UI"/>
      <family val="2"/>
    </font>
  </fonts>
  <fills count="9">
    <fill>
      <patternFill patternType="none"/>
    </fill>
    <fill>
      <patternFill patternType="gray125"/>
    </fill>
    <fill>
      <patternFill patternType="solid">
        <fgColor rgb="FF1F4E78"/>
        <bgColor rgb="FF1F4E78"/>
      </patternFill>
    </fill>
    <fill>
      <patternFill patternType="solid">
        <fgColor rgb="FFC6EFCE"/>
        <bgColor rgb="FFC6EFCE"/>
      </patternFill>
    </fill>
    <fill>
      <patternFill patternType="solid">
        <fgColor rgb="FFFFFF00"/>
        <bgColor indexed="64"/>
      </patternFill>
    </fill>
    <fill>
      <patternFill patternType="solid">
        <fgColor rgb="FFFFFF99"/>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79998168889431442"/>
        <bgColor indexed="64"/>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5" fillId="2" borderId="1" xfId="0" applyFont="1" applyFill="1" applyBorder="1" applyAlignment="1">
      <alignment horizontal="center"/>
    </xf>
    <xf numFmtId="0" fontId="3" fillId="0" borderId="1" xfId="0" applyFont="1" applyBorder="1"/>
    <xf numFmtId="0" fontId="4" fillId="3" borderId="1" xfId="0" applyFont="1" applyFill="1" applyBorder="1"/>
    <xf numFmtId="2" fontId="3" fillId="0" borderId="1" xfId="0" applyNumberFormat="1" applyFont="1" applyBorder="1"/>
    <xf numFmtId="3" fontId="3" fillId="0" borderId="1" xfId="0" applyNumberFormat="1" applyFont="1" applyBorder="1"/>
    <xf numFmtId="3" fontId="4" fillId="3" borderId="1" xfId="0" applyNumberFormat="1" applyFont="1" applyFill="1" applyBorder="1"/>
    <xf numFmtId="0" fontId="0" fillId="0" borderId="0" xfId="0" applyAlignment="1">
      <alignment vertical="center" wrapText="1"/>
    </xf>
    <xf numFmtId="0" fontId="8" fillId="0" borderId="0" xfId="0" applyFont="1" applyAlignment="1">
      <alignment horizontal="center" vertical="center"/>
    </xf>
    <xf numFmtId="0" fontId="0" fillId="0" borderId="0" xfId="0" applyAlignment="1">
      <alignment vertical="center"/>
    </xf>
    <xf numFmtId="0" fontId="8" fillId="0" borderId="0" xfId="0" applyFont="1" applyAlignment="1">
      <alignment horizontal="right" vertical="center"/>
    </xf>
    <xf numFmtId="0" fontId="3"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right" vertical="center"/>
    </xf>
    <xf numFmtId="0" fontId="3" fillId="0" borderId="0" xfId="0" applyFont="1" applyAlignment="1">
      <alignment vertical="center" wrapText="1"/>
    </xf>
    <xf numFmtId="3" fontId="3" fillId="0" borderId="0" xfId="0" applyNumberFormat="1" applyFont="1" applyAlignment="1">
      <alignment horizontal="right" vertical="center"/>
    </xf>
    <xf numFmtId="0" fontId="3" fillId="0" borderId="0" xfId="0" applyFont="1" applyAlignment="1">
      <alignment horizontal="right" vertical="center"/>
    </xf>
    <xf numFmtId="3" fontId="3" fillId="0" borderId="0" xfId="0" applyNumberFormat="1" applyFont="1" applyAlignment="1">
      <alignment vertical="center" wrapText="1"/>
    </xf>
    <xf numFmtId="0" fontId="6" fillId="0" borderId="0" xfId="0" applyFont="1" applyAlignment="1">
      <alignment vertical="center"/>
    </xf>
    <xf numFmtId="0" fontId="6" fillId="0" borderId="0" xfId="0" applyFont="1"/>
    <xf numFmtId="0" fontId="9" fillId="0" borderId="0" xfId="0" applyFont="1"/>
    <xf numFmtId="3" fontId="6" fillId="0" borderId="0" xfId="0" applyNumberFormat="1" applyFont="1"/>
    <xf numFmtId="3" fontId="3" fillId="4" borderId="1" xfId="0" applyNumberFormat="1" applyFont="1" applyFill="1" applyBorder="1"/>
    <xf numFmtId="0" fontId="3" fillId="0" borderId="0" xfId="0" applyFont="1" applyAlignment="1">
      <alignment horizontal="right"/>
    </xf>
    <xf numFmtId="3" fontId="3" fillId="5" borderId="1" xfId="0" applyNumberFormat="1" applyFont="1" applyFill="1" applyBorder="1"/>
    <xf numFmtId="3" fontId="3" fillId="6" borderId="1" xfId="0" applyNumberFormat="1" applyFont="1" applyFill="1" applyBorder="1"/>
    <xf numFmtId="3" fontId="3" fillId="0" borderId="0" xfId="0" applyNumberFormat="1" applyFont="1" applyAlignment="1">
      <alignment vertical="center"/>
    </xf>
    <xf numFmtId="0" fontId="8" fillId="0" borderId="0" xfId="0" applyFont="1" applyAlignment="1">
      <alignment horizontal="left" vertical="center"/>
    </xf>
    <xf numFmtId="3" fontId="3" fillId="0" borderId="0" xfId="0" applyNumberFormat="1" applyFont="1"/>
    <xf numFmtId="0" fontId="3" fillId="0" borderId="0" xfId="0" applyFont="1" applyAlignment="1">
      <alignment horizontal="left" vertical="center"/>
    </xf>
    <xf numFmtId="0" fontId="9" fillId="7" borderId="0" xfId="0" applyFont="1" applyFill="1"/>
    <xf numFmtId="0" fontId="3" fillId="7" borderId="0" xfId="0" applyFont="1" applyFill="1"/>
    <xf numFmtId="2" fontId="3" fillId="0" borderId="0" xfId="0" applyNumberFormat="1" applyFont="1"/>
    <xf numFmtId="3" fontId="3" fillId="8" borderId="1" xfId="0" applyNumberFormat="1" applyFont="1" applyFill="1" applyBorder="1"/>
    <xf numFmtId="164" fontId="3" fillId="0" borderId="0" xfId="0" applyNumberFormat="1" applyFont="1" applyAlignment="1">
      <alignment vertical="center" wrapText="1"/>
    </xf>
    <xf numFmtId="0" fontId="0" fillId="0" borderId="0" xfId="0" applyAlignment="1">
      <alignment horizontal="left" vertical="center"/>
    </xf>
    <xf numFmtId="3" fontId="0" fillId="0" borderId="0" xfId="0" applyNumberFormat="1" applyAlignment="1">
      <alignment horizontal="left" vertical="center"/>
    </xf>
    <xf numFmtId="3" fontId="3" fillId="0" borderId="1" xfId="0" applyNumberFormat="1" applyFont="1" applyFill="1" applyBorder="1"/>
    <xf numFmtId="166" fontId="3" fillId="0" borderId="0" xfId="0" applyNumberFormat="1" applyFont="1"/>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50" b="1">
                <a:latin typeface="Segoe UI" panose="020B0502040204020203" pitchFamily="34" charset="0"/>
                <a:cs typeface="Segoe UI" panose="020B0502040204020203" pitchFamily="34" charset="0"/>
              </a:rPr>
              <a:t>Forecast Lift vs. Net ROI</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0"/>
          <c:order val="0"/>
          <c:tx>
            <c:strRef>
              <c:f>'LP-Scenario2-QualPipe-Scenarios'!$B$52</c:f>
              <c:strCache>
                <c:ptCount val="1"/>
                <c:pt idx="0">
                  <c:v>Total Forecast Lift</c:v>
                </c:pt>
              </c:strCache>
            </c:strRef>
          </c:tx>
          <c:spPr>
            <a:solidFill>
              <a:schemeClr val="accent1"/>
            </a:solidFill>
            <a:ln>
              <a:noFill/>
            </a:ln>
            <a:effectLst/>
          </c:spPr>
          <c:invertIfNegative val="0"/>
          <c:dLbls>
            <c:dLbl>
              <c:idx val="0"/>
              <c:tx>
                <c:rich>
                  <a:bodyPr/>
                  <a:lstStyle/>
                  <a:p>
                    <a:fld id="{E7893E87-5273-4AA9-9FE1-BF0CC0642054}"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59B-4485-ACF7-10C467A6A922}"/>
                </c:ext>
              </c:extLst>
            </c:dLbl>
            <c:dLbl>
              <c:idx val="1"/>
              <c:tx>
                <c:rich>
                  <a:bodyPr/>
                  <a:lstStyle/>
                  <a:p>
                    <a:fld id="{B28C6613-2BA1-45B8-9DD9-647BE8947837}"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59B-4485-ACF7-10C467A6A922}"/>
                </c:ext>
              </c:extLst>
            </c:dLbl>
            <c:dLbl>
              <c:idx val="2"/>
              <c:tx>
                <c:rich>
                  <a:bodyPr/>
                  <a:lstStyle/>
                  <a:p>
                    <a:fld id="{ECAD1C57-1257-451B-B5C3-5AD8FF8789B1}"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59B-4485-ACF7-10C467A6A922}"/>
                </c:ext>
              </c:extLst>
            </c:dLbl>
            <c:dLbl>
              <c:idx val="3"/>
              <c:tx>
                <c:rich>
                  <a:bodyPr/>
                  <a:lstStyle/>
                  <a:p>
                    <a:fld id="{10555B2E-59AA-407D-9474-9C89468B519D}"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59B-4485-ACF7-10C467A6A922}"/>
                </c:ext>
              </c:extLst>
            </c:dLbl>
            <c:dLbl>
              <c:idx val="4"/>
              <c:tx>
                <c:rich>
                  <a:bodyPr/>
                  <a:lstStyle/>
                  <a:p>
                    <a:fld id="{1094A6D5-B27A-4184-8955-866DD52E7B2E}"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59B-4485-ACF7-10C467A6A922}"/>
                </c:ext>
              </c:extLst>
            </c:dLbl>
            <c:dLbl>
              <c:idx val="5"/>
              <c:tx>
                <c:rich>
                  <a:bodyPr/>
                  <a:lstStyle/>
                  <a:p>
                    <a:fld id="{C54E7BCE-AFBD-4E4B-ABD3-8E127828D01B}"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59B-4485-ACF7-10C467A6A922}"/>
                </c:ext>
              </c:extLst>
            </c:dLbl>
            <c:dLbl>
              <c:idx val="6"/>
              <c:tx>
                <c:rich>
                  <a:bodyPr/>
                  <a:lstStyle/>
                  <a:p>
                    <a:fld id="{BC0D66C3-DCAE-4357-A7F5-81B4B7EAFA17}"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59B-4485-ACF7-10C467A6A92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'LP-Scenario2-QualPipe-Scenarios'!$A$53:$A$59</c:f>
              <c:strCache>
                <c:ptCount val="7"/>
                <c:pt idx="0">
                  <c:v>S2A - 1M</c:v>
                </c:pt>
                <c:pt idx="1">
                  <c:v>S2B - 2M</c:v>
                </c:pt>
                <c:pt idx="2">
                  <c:v>S2C - 3M</c:v>
                </c:pt>
                <c:pt idx="3">
                  <c:v>S2D - 4M</c:v>
                </c:pt>
                <c:pt idx="4">
                  <c:v>S2E - 5M</c:v>
                </c:pt>
                <c:pt idx="5">
                  <c:v>S2F - 6M</c:v>
                </c:pt>
                <c:pt idx="6">
                  <c:v>S2G - 7M</c:v>
                </c:pt>
              </c:strCache>
            </c:strRef>
          </c:cat>
          <c:val>
            <c:numRef>
              <c:f>'LP-Scenario2-QualPipe-Scenarios'!$B$53:$B$59</c:f>
              <c:numCache>
                <c:formatCode>#,##0</c:formatCode>
                <c:ptCount val="7"/>
                <c:pt idx="0">
                  <c:v>2080000</c:v>
                </c:pt>
                <c:pt idx="1">
                  <c:v>4160000</c:v>
                </c:pt>
                <c:pt idx="2">
                  <c:v>6168038.4999999991</c:v>
                </c:pt>
                <c:pt idx="3">
                  <c:v>8070288.5</c:v>
                </c:pt>
                <c:pt idx="4">
                  <c:v>9953149.4924242422</c:v>
                </c:pt>
                <c:pt idx="5">
                  <c:v>11709367.20923521</c:v>
                </c:pt>
                <c:pt idx="6">
                  <c:v>11893944</c:v>
                </c:pt>
              </c:numCache>
            </c:numRef>
          </c:val>
          <c:extLst>
            <c:ext xmlns:c15="http://schemas.microsoft.com/office/drawing/2012/chart" uri="{02D57815-91ED-43cb-92C2-25804820EDAC}">
              <c15:datalabelsRange>
                <c15:f>'LP-Scenario2-QualPipe-Scenarios'!$G$53:$G$59</c15:f>
                <c15:dlblRangeCache>
                  <c:ptCount val="7"/>
                  <c:pt idx="0">
                    <c:v>2.08M</c:v>
                  </c:pt>
                  <c:pt idx="1">
                    <c:v>4.16M</c:v>
                  </c:pt>
                  <c:pt idx="2">
                    <c:v>6.17M</c:v>
                  </c:pt>
                  <c:pt idx="3">
                    <c:v>8.07M</c:v>
                  </c:pt>
                  <c:pt idx="4">
                    <c:v>9.95M</c:v>
                  </c:pt>
                  <c:pt idx="5">
                    <c:v>11.71M</c:v>
                  </c:pt>
                  <c:pt idx="6">
                    <c:v>11.89M</c:v>
                  </c:pt>
                </c15:dlblRangeCache>
              </c15:datalabelsRange>
            </c:ext>
            <c:ext xmlns:c16="http://schemas.microsoft.com/office/drawing/2014/chart" uri="{C3380CC4-5D6E-409C-BE32-E72D297353CC}">
              <c16:uniqueId val="{00000000-959B-4485-ACF7-10C467A6A922}"/>
            </c:ext>
          </c:extLst>
        </c:ser>
        <c:dLbls>
          <c:dLblPos val="outEnd"/>
          <c:showLegendKey val="0"/>
          <c:showVal val="1"/>
          <c:showCatName val="0"/>
          <c:showSerName val="0"/>
          <c:showPercent val="0"/>
          <c:showBubbleSize val="0"/>
        </c:dLbls>
        <c:gapWidth val="219"/>
        <c:overlap val="-27"/>
        <c:axId val="1181183616"/>
        <c:axId val="1181200896"/>
      </c:barChart>
      <c:lineChart>
        <c:grouping val="standard"/>
        <c:varyColors val="0"/>
        <c:ser>
          <c:idx val="1"/>
          <c:order val="1"/>
          <c:tx>
            <c:strRef>
              <c:f>'LP-Scenario2-QualPipe-Scenarios'!$E$52</c:f>
              <c:strCache>
                <c:ptCount val="1"/>
                <c:pt idx="0">
                  <c:v>Marginal ROI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'LP-Scenario2-QualPipe-Scenarios'!$A$53:$A$59</c:f>
              <c:strCache>
                <c:ptCount val="7"/>
                <c:pt idx="0">
                  <c:v>S2A - 1M</c:v>
                </c:pt>
                <c:pt idx="1">
                  <c:v>S2B - 2M</c:v>
                </c:pt>
                <c:pt idx="2">
                  <c:v>S2C - 3M</c:v>
                </c:pt>
                <c:pt idx="3">
                  <c:v>S2D - 4M</c:v>
                </c:pt>
                <c:pt idx="4">
                  <c:v>S2E - 5M</c:v>
                </c:pt>
                <c:pt idx="5">
                  <c:v>S2F - 6M</c:v>
                </c:pt>
                <c:pt idx="6">
                  <c:v>S2G - 7M</c:v>
                </c:pt>
              </c:strCache>
            </c:strRef>
          </c:cat>
          <c:val>
            <c:numRef>
              <c:f>'LP-Scenario2-QualPipe-Scenarios'!$E$53:$E$59</c:f>
              <c:numCache>
                <c:formatCode>0.00</c:formatCode>
                <c:ptCount val="7"/>
                <c:pt idx="0">
                  <c:v>2.08</c:v>
                </c:pt>
                <c:pt idx="1">
                  <c:v>2.08</c:v>
                </c:pt>
                <c:pt idx="2">
                  <c:v>2.056012833333333</c:v>
                </c:pt>
                <c:pt idx="3">
                  <c:v>2.017572125</c:v>
                </c:pt>
                <c:pt idx="4">
                  <c:v>1.9906298984848485</c:v>
                </c:pt>
                <c:pt idx="5">
                  <c:v>1.9515612015392017</c:v>
                </c:pt>
                <c:pt idx="6">
                  <c:v>1.6991348571428571</c:v>
                </c:pt>
              </c:numCache>
            </c:numRef>
          </c:val>
          <c:smooth val="0"/>
          <c:extLst>
            <c:ext xmlns:c16="http://schemas.microsoft.com/office/drawing/2014/chart" uri="{C3380CC4-5D6E-409C-BE32-E72D297353CC}">
              <c16:uniqueId val="{00000001-959B-4485-ACF7-10C467A6A922}"/>
            </c:ext>
          </c:extLst>
        </c:ser>
        <c:dLbls>
          <c:showLegendKey val="0"/>
          <c:showVal val="1"/>
          <c:showCatName val="0"/>
          <c:showSerName val="0"/>
          <c:showPercent val="0"/>
          <c:showBubbleSize val="0"/>
        </c:dLbls>
        <c:marker val="1"/>
        <c:smooth val="0"/>
        <c:axId val="1181187936"/>
        <c:axId val="1181202816"/>
      </c:lineChart>
      <c:catAx>
        <c:axId val="11811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81200896"/>
        <c:crosses val="autoZero"/>
        <c:auto val="1"/>
        <c:lblAlgn val="ctr"/>
        <c:lblOffset val="100"/>
        <c:noMultiLvlLbl val="0"/>
      </c:catAx>
      <c:valAx>
        <c:axId val="1181200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81183616"/>
        <c:crosses val="autoZero"/>
        <c:crossBetween val="between"/>
      </c:valAx>
      <c:valAx>
        <c:axId val="11812028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81187936"/>
        <c:crosses val="max"/>
        <c:crossBetween val="between"/>
      </c:valAx>
      <c:catAx>
        <c:axId val="1181187936"/>
        <c:scaling>
          <c:orientation val="minMax"/>
        </c:scaling>
        <c:delete val="1"/>
        <c:axPos val="b"/>
        <c:numFmt formatCode="General" sourceLinked="1"/>
        <c:majorTickMark val="out"/>
        <c:minorTickMark val="none"/>
        <c:tickLblPos val="nextTo"/>
        <c:crossAx val="118120281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Incremental</a:t>
            </a:r>
            <a:r>
              <a:rPr lang="en-GB" baseline="0"/>
              <a:t> Lift &amp; Marginal ROI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'LP-Scenario3'!$C$41</c:f>
              <c:strCache>
                <c:ptCount val="1"/>
                <c:pt idx="0">
                  <c:v>Incremental Lift</c:v>
                </c:pt>
              </c:strCache>
            </c:strRef>
          </c:tx>
          <c:spPr>
            <a:solidFill>
              <a:schemeClr val="accent1"/>
            </a:solidFill>
            <a:ln>
              <a:noFill/>
            </a:ln>
            <a:effectLst/>
          </c:spPr>
          <c:invertIfNegative val="0"/>
          <c:val>
            <c:numRef>
              <c:f>'LP-Scenario3'!$C$42:$C$49</c:f>
              <c:numCache>
                <c:formatCode>#,##0</c:formatCode>
                <c:ptCount val="8"/>
                <c:pt idx="0">
                  <c:v>1400000</c:v>
                </c:pt>
                <c:pt idx="1">
                  <c:v>1400000</c:v>
                </c:pt>
                <c:pt idx="2">
                  <c:v>1400000</c:v>
                </c:pt>
                <c:pt idx="3">
                  <c:v>1379747.2857142854</c:v>
                </c:pt>
                <c:pt idx="4">
                  <c:v>1300000</c:v>
                </c:pt>
                <c:pt idx="5">
                  <c:v>1300000</c:v>
                </c:pt>
                <c:pt idx="6">
                  <c:v>1230781.5164835155</c:v>
                </c:pt>
                <c:pt idx="7">
                  <c:v>434793.19780219719</c:v>
                </c:pt>
              </c:numCache>
            </c:numRef>
          </c:val>
          <c:extLst>
            <c:ext xmlns:c16="http://schemas.microsoft.com/office/drawing/2014/chart" uri="{C3380CC4-5D6E-409C-BE32-E72D297353CC}">
              <c16:uniqueId val="{00000000-AB95-480D-99DA-F5F2E4329FB0}"/>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'LP-Scenario3'!$D$41</c:f>
              <c:strCache>
                <c:ptCount val="1"/>
                <c:pt idx="0">
                  <c:v>Marginal ROI</c:v>
                </c:pt>
              </c:strCache>
            </c:strRef>
          </c:tx>
          <c:spPr>
            <a:ln w="28575" cap="rnd">
              <a:solidFill>
                <a:schemeClr val="accent2"/>
              </a:solidFill>
              <a:round/>
            </a:ln>
            <a:effectLst/>
          </c:spPr>
          <c:marker>
            <c:symbol val="none"/>
          </c:marker>
          <c:val>
            <c:numRef>
              <c:f>'LP-Scenario3'!$D$42:$D$49</c:f>
              <c:numCache>
                <c:formatCode>0.00</c:formatCode>
                <c:ptCount val="8"/>
                <c:pt idx="0">
                  <c:v>1.4</c:v>
                </c:pt>
                <c:pt idx="1">
                  <c:v>1.4</c:v>
                </c:pt>
                <c:pt idx="2">
                  <c:v>1.4</c:v>
                </c:pt>
                <c:pt idx="3">
                  <c:v>1.3949368214285713</c:v>
                </c:pt>
                <c:pt idx="4">
                  <c:v>1.375949457142857</c:v>
                </c:pt>
                <c:pt idx="5">
                  <c:v>1.3632912142857143</c:v>
                </c:pt>
                <c:pt idx="6">
                  <c:v>1.3443612574568287</c:v>
                </c:pt>
                <c:pt idx="7">
                  <c:v>1.2306652499999997</c:v>
                </c:pt>
              </c:numCache>
            </c:numRef>
          </c:val>
          <c:smooth val="0"/>
          <c:extLst>
            <c:ext xmlns:c16="http://schemas.microsoft.com/office/drawing/2014/chart" uri="{C3380CC4-5D6E-409C-BE32-E72D297353CC}">
              <c16:uniqueId val="{00000001-AB95-480D-99DA-F5F2E4329FB0}"/>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Incremental</a:t>
            </a:r>
            <a:r>
              <a:rPr lang="en-GB" baseline="0"/>
              <a:t> Lift &amp; Marginal ROI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'LP-Scenario4'!$C$41</c:f>
              <c:strCache>
                <c:ptCount val="1"/>
                <c:pt idx="0">
                  <c:v>Incremental Lift</c:v>
                </c:pt>
              </c:strCache>
            </c:strRef>
          </c:tx>
          <c:spPr>
            <a:solidFill>
              <a:schemeClr val="accent1"/>
            </a:solidFill>
            <a:ln>
              <a:noFill/>
            </a:ln>
            <a:effectLst/>
          </c:spPr>
          <c:invertIfNegative val="0"/>
          <c:val>
            <c:numRef>
              <c:f>'LP-Scenario4'!$C$42:$C$46</c:f>
              <c:numCache>
                <c:formatCode>#,##0</c:formatCode>
                <c:ptCount val="5"/>
                <c:pt idx="0">
                  <c:v>2400000</c:v>
                </c:pt>
                <c:pt idx="1">
                  <c:v>2400000</c:v>
                </c:pt>
                <c:pt idx="2">
                  <c:v>2243038.5</c:v>
                </c:pt>
                <c:pt idx="3">
                  <c:v>2139715.3181818184</c:v>
                </c:pt>
                <c:pt idx="4">
                  <c:v>662568.18181818165</c:v>
                </c:pt>
              </c:numCache>
            </c:numRef>
          </c:val>
          <c:extLst>
            <c:ext xmlns:c16="http://schemas.microsoft.com/office/drawing/2014/chart" uri="{C3380CC4-5D6E-409C-BE32-E72D297353CC}">
              <c16:uniqueId val="{00000000-AC33-4F8C-99B0-D2CF7D23F2A3}"/>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'LP-Scenario4'!$E$41</c:f>
              <c:strCache>
                <c:ptCount val="1"/>
                <c:pt idx="0">
                  <c:v>Marginal ROI</c:v>
                </c:pt>
              </c:strCache>
            </c:strRef>
          </c:tx>
          <c:spPr>
            <a:ln w="28575" cap="rnd">
              <a:solidFill>
                <a:schemeClr val="accent2"/>
              </a:solidFill>
              <a:round/>
            </a:ln>
            <a:effectLst/>
          </c:spPr>
          <c:marker>
            <c:symbol val="none"/>
          </c:marker>
          <c:val>
            <c:numRef>
              <c:f>'LP-Scenario4'!$E$42:$E$46</c:f>
              <c:numCache>
                <c:formatCode>0.00</c:formatCode>
                <c:ptCount val="5"/>
                <c:pt idx="0">
                  <c:v>2.4</c:v>
                </c:pt>
                <c:pt idx="1">
                  <c:v>2.4</c:v>
                </c:pt>
                <c:pt idx="2">
                  <c:v>2.3476794999999999</c:v>
                </c:pt>
                <c:pt idx="3">
                  <c:v>1.8365507636363636</c:v>
                </c:pt>
                <c:pt idx="4">
                  <c:v>1.640887</c:v>
                </c:pt>
              </c:numCache>
            </c:numRef>
          </c:val>
          <c:smooth val="0"/>
          <c:extLst>
            <c:ext xmlns:c16="http://schemas.microsoft.com/office/drawing/2014/chart" uri="{C3380CC4-5D6E-409C-BE32-E72D297353CC}">
              <c16:uniqueId val="{00000001-AC33-4F8C-99B0-D2CF7D23F2A3}"/>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50" b="1"/>
              <a:t>Incremental Lift &amp; Marginal ROI</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GB"/>
        </a:p>
      </c:txPr>
    </c:title>
    <c:autoTitleDeleted val="0"/>
    <c:plotArea>
      <c:layout/>
      <c:barChart>
        <c:barDir val="col"/>
        <c:grouping val="clustered"/>
        <c:varyColors val="0"/>
        <c:ser>
          <c:idx val="0"/>
          <c:order val="0"/>
          <c:tx>
            <c:strRef>
              <c:f>'LP-Scenario5'!$C$41</c:f>
              <c:strCache>
                <c:ptCount val="1"/>
                <c:pt idx="0">
                  <c:v>Incremental Lift</c:v>
                </c:pt>
              </c:strCache>
            </c:strRef>
          </c:tx>
          <c:spPr>
            <a:solidFill>
              <a:schemeClr val="accent1"/>
            </a:solidFill>
            <a:ln>
              <a:noFill/>
            </a:ln>
            <a:effectLst/>
          </c:spPr>
          <c:invertIfNegative val="0"/>
          <c:val>
            <c:numRef>
              <c:f>'LP-Scenario5'!$C$42:$C$46</c:f>
              <c:numCache>
                <c:formatCode>#,##0</c:formatCode>
                <c:ptCount val="5"/>
                <c:pt idx="0">
                  <c:v>2400000</c:v>
                </c:pt>
                <c:pt idx="1">
                  <c:v>2400000</c:v>
                </c:pt>
                <c:pt idx="2">
                  <c:v>2243038.5</c:v>
                </c:pt>
                <c:pt idx="3">
                  <c:v>2139715.3181818184</c:v>
                </c:pt>
                <c:pt idx="4">
                  <c:v>662568.18181818165</c:v>
                </c:pt>
              </c:numCache>
            </c:numRef>
          </c:val>
          <c:extLst>
            <c:ext xmlns:c16="http://schemas.microsoft.com/office/drawing/2014/chart" uri="{C3380CC4-5D6E-409C-BE32-E72D297353CC}">
              <c16:uniqueId val="{00000000-F814-45BD-B136-F8A3F7E09D7E}"/>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'LP-Scenario5'!$E$41</c:f>
              <c:strCache>
                <c:ptCount val="1"/>
                <c:pt idx="0">
                  <c:v>Marginal ROI</c:v>
                </c:pt>
              </c:strCache>
            </c:strRef>
          </c:tx>
          <c:spPr>
            <a:ln w="28575" cap="rnd">
              <a:solidFill>
                <a:schemeClr val="accent2"/>
              </a:solidFill>
              <a:round/>
            </a:ln>
            <a:effectLst/>
          </c:spPr>
          <c:marker>
            <c:symbol val="none"/>
          </c:marker>
          <c:val>
            <c:numRef>
              <c:f>'LP-Scenario5'!$E$42:$E$46</c:f>
              <c:numCache>
                <c:formatCode>0.00</c:formatCode>
                <c:ptCount val="5"/>
                <c:pt idx="0">
                  <c:v>2.4</c:v>
                </c:pt>
                <c:pt idx="1">
                  <c:v>2.4</c:v>
                </c:pt>
                <c:pt idx="2">
                  <c:v>2.3476794999999999</c:v>
                </c:pt>
                <c:pt idx="3">
                  <c:v>1.8365507636363636</c:v>
                </c:pt>
                <c:pt idx="4">
                  <c:v>1.640887</c:v>
                </c:pt>
              </c:numCache>
            </c:numRef>
          </c:val>
          <c:smooth val="0"/>
          <c:extLst>
            <c:ext xmlns:c16="http://schemas.microsoft.com/office/drawing/2014/chart" uri="{C3380CC4-5D6E-409C-BE32-E72D297353CC}">
              <c16:uniqueId val="{00000001-F814-45BD-B136-F8A3F7E09D7E}"/>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50" b="1"/>
              <a:t>Incremental Lift &amp; Marginal ROI</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GB"/>
        </a:p>
      </c:txPr>
    </c:title>
    <c:autoTitleDeleted val="0"/>
    <c:plotArea>
      <c:layout/>
      <c:barChart>
        <c:barDir val="col"/>
        <c:grouping val="clustered"/>
        <c:varyColors val="0"/>
        <c:ser>
          <c:idx val="0"/>
          <c:order val="0"/>
          <c:tx>
            <c:strRef>
              <c:f>'LP-Scenario6'!$C$41</c:f>
              <c:strCache>
                <c:ptCount val="1"/>
                <c:pt idx="0">
                  <c:v>Incremental Lift</c:v>
                </c:pt>
              </c:strCache>
            </c:strRef>
          </c:tx>
          <c:spPr>
            <a:solidFill>
              <a:schemeClr val="accent1"/>
            </a:solidFill>
            <a:ln>
              <a:noFill/>
            </a:ln>
            <a:effectLst/>
          </c:spPr>
          <c:invertIfNegative val="0"/>
          <c:val>
            <c:numRef>
              <c:f>'LP-Scenario6'!$C$42:$C$46</c:f>
              <c:numCache>
                <c:formatCode>#,##0</c:formatCode>
                <c:ptCount val="5"/>
                <c:pt idx="0">
                  <c:v>2000000</c:v>
                </c:pt>
                <c:pt idx="1">
                  <c:v>2000000</c:v>
                </c:pt>
                <c:pt idx="2">
                  <c:v>1897469.2999999998</c:v>
                </c:pt>
                <c:pt idx="3">
                  <c:v>1700000</c:v>
                </c:pt>
                <c:pt idx="4">
                  <c:v>1615580.905882352</c:v>
                </c:pt>
              </c:numCache>
            </c:numRef>
          </c:val>
          <c:extLst>
            <c:ext xmlns:c16="http://schemas.microsoft.com/office/drawing/2014/chart" uri="{C3380CC4-5D6E-409C-BE32-E72D297353CC}">
              <c16:uniqueId val="{00000000-B6A7-4A1A-AF0F-5F6F6CE1DD37}"/>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'LP-Scenario6'!$E$41</c:f>
              <c:strCache>
                <c:ptCount val="1"/>
                <c:pt idx="0">
                  <c:v>Marginal ROI</c:v>
                </c:pt>
              </c:strCache>
            </c:strRef>
          </c:tx>
          <c:spPr>
            <a:ln w="28575" cap="rnd">
              <a:solidFill>
                <a:schemeClr val="accent2"/>
              </a:solidFill>
              <a:round/>
            </a:ln>
            <a:effectLst/>
          </c:spPr>
          <c:marker>
            <c:symbol val="none"/>
          </c:marker>
          <c:val>
            <c:numRef>
              <c:f>'LP-Scenario6'!$E$42:$E$46</c:f>
              <c:numCache>
                <c:formatCode>0.00</c:formatCode>
                <c:ptCount val="5"/>
                <c:pt idx="0">
                  <c:v>2</c:v>
                </c:pt>
                <c:pt idx="1">
                  <c:v>2</c:v>
                </c:pt>
                <c:pt idx="2">
                  <c:v>1.9658230999999999</c:v>
                </c:pt>
                <c:pt idx="3">
                  <c:v>1.5194938599999999</c:v>
                </c:pt>
                <c:pt idx="4">
                  <c:v>1.5355083676470587</c:v>
                </c:pt>
              </c:numCache>
            </c:numRef>
          </c:val>
          <c:smooth val="0"/>
          <c:extLst>
            <c:ext xmlns:c16="http://schemas.microsoft.com/office/drawing/2014/chart" uri="{C3380CC4-5D6E-409C-BE32-E72D297353CC}">
              <c16:uniqueId val="{00000001-B6A7-4A1A-AF0F-5F6F6CE1DD37}"/>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65484</xdr:colOff>
      <xdr:row>62</xdr:row>
      <xdr:rowOff>3572</xdr:rowOff>
    </xdr:from>
    <xdr:to>
      <xdr:col>4</xdr:col>
      <xdr:colOff>392905</xdr:colOff>
      <xdr:row>76</xdr:row>
      <xdr:rowOff>142875</xdr:rowOff>
    </xdr:to>
    <xdr:graphicFrame macro="">
      <xdr:nvGraphicFramePr>
        <xdr:cNvPr id="2" name="Chart 1">
          <a:extLst>
            <a:ext uri="{FF2B5EF4-FFF2-40B4-BE49-F238E27FC236}">
              <a16:creationId xmlns:a16="http://schemas.microsoft.com/office/drawing/2014/main" id="{F72127B3-B165-CA8E-1D0C-E31BD90FB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3</xdr:col>
      <xdr:colOff>452437</xdr:colOff>
      <xdr:row>65</xdr:row>
      <xdr:rowOff>190500</xdr:rowOff>
    </xdr:to>
    <xdr:graphicFrame macro="">
      <xdr:nvGraphicFramePr>
        <xdr:cNvPr id="3" name="Chart 2">
          <a:extLst>
            <a:ext uri="{FF2B5EF4-FFF2-40B4-BE49-F238E27FC236}">
              <a16:creationId xmlns:a16="http://schemas.microsoft.com/office/drawing/2014/main" id="{A7BD4CEB-2579-9A0F-807E-3622EC5E1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3</xdr:col>
      <xdr:colOff>452437</xdr:colOff>
      <xdr:row>65</xdr:row>
      <xdr:rowOff>190500</xdr:rowOff>
    </xdr:to>
    <xdr:graphicFrame macro="">
      <xdr:nvGraphicFramePr>
        <xdr:cNvPr id="2" name="Chart 1">
          <a:extLst>
            <a:ext uri="{FF2B5EF4-FFF2-40B4-BE49-F238E27FC236}">
              <a16:creationId xmlns:a16="http://schemas.microsoft.com/office/drawing/2014/main" id="{184AB9CA-FF11-4FA7-87C1-129E1B4E4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2</xdr:col>
      <xdr:colOff>1309687</xdr:colOff>
      <xdr:row>62</xdr:row>
      <xdr:rowOff>23813</xdr:rowOff>
    </xdr:to>
    <xdr:graphicFrame macro="">
      <xdr:nvGraphicFramePr>
        <xdr:cNvPr id="2" name="Chart 1">
          <a:extLst>
            <a:ext uri="{FF2B5EF4-FFF2-40B4-BE49-F238E27FC236}">
              <a16:creationId xmlns:a16="http://schemas.microsoft.com/office/drawing/2014/main" id="{07E12220-E186-4D27-8844-E62DB7851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2</xdr:col>
      <xdr:colOff>1309687</xdr:colOff>
      <xdr:row>62</xdr:row>
      <xdr:rowOff>23813</xdr:rowOff>
    </xdr:to>
    <xdr:graphicFrame macro="">
      <xdr:nvGraphicFramePr>
        <xdr:cNvPr id="2" name="Chart 1">
          <a:extLst>
            <a:ext uri="{FF2B5EF4-FFF2-40B4-BE49-F238E27FC236}">
              <a16:creationId xmlns:a16="http://schemas.microsoft.com/office/drawing/2014/main" id="{1BEA7EED-2119-4AF7-8725-2D16BECE7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44BE-E133-4B01-ABA9-6B2E66D8F38E}">
  <sheetPr>
    <tabColor theme="1" tint="0.499984740745262"/>
  </sheetPr>
  <dimension ref="A1:E41"/>
  <sheetViews>
    <sheetView topLeftCell="A3" zoomScale="80" zoomScaleNormal="80" workbookViewId="0">
      <selection activeCell="D10" sqref="D10"/>
    </sheetView>
  </sheetViews>
  <sheetFormatPr defaultRowHeight="16.5" x14ac:dyDescent="0.3"/>
  <cols>
    <col min="1" max="1" width="43.7109375" style="2" customWidth="1"/>
    <col min="2" max="2" width="18" style="2" customWidth="1"/>
    <col min="3" max="4" width="20" style="2" customWidth="1"/>
    <col min="5" max="5" width="22" style="2" customWidth="1"/>
    <col min="6" max="16384" width="9.140625" style="2"/>
  </cols>
  <sheetData>
    <row r="1" spans="1:5" ht="25.5" x14ac:dyDescent="0.5">
      <c r="A1" s="1" t="s">
        <v>0</v>
      </c>
    </row>
    <row r="3" spans="1:5" ht="342" x14ac:dyDescent="0.3">
      <c r="A3" s="3" t="s">
        <v>33</v>
      </c>
    </row>
    <row r="5" spans="1:5" x14ac:dyDescent="0.3">
      <c r="A5" s="4" t="s">
        <v>1</v>
      </c>
      <c r="B5" s="5"/>
      <c r="C5" s="5"/>
      <c r="D5" s="5"/>
      <c r="E5" s="5"/>
    </row>
    <row r="6" spans="1:5" x14ac:dyDescent="0.3">
      <c r="A6" s="6" t="s">
        <v>2</v>
      </c>
      <c r="B6" s="6" t="s">
        <v>3</v>
      </c>
      <c r="C6" s="6" t="s">
        <v>4</v>
      </c>
      <c r="D6" s="6" t="s">
        <v>5</v>
      </c>
      <c r="E6" s="6" t="s">
        <v>6</v>
      </c>
    </row>
    <row r="7" spans="1:5" x14ac:dyDescent="0.3">
      <c r="A7" s="7" t="s">
        <v>7</v>
      </c>
      <c r="B7" s="9">
        <v>2</v>
      </c>
      <c r="C7" s="9">
        <v>2.4</v>
      </c>
      <c r="D7" s="9">
        <v>1.4</v>
      </c>
      <c r="E7" s="10">
        <v>5316462</v>
      </c>
    </row>
    <row r="8" spans="1:5" x14ac:dyDescent="0.3">
      <c r="A8" s="7" t="s">
        <v>8</v>
      </c>
      <c r="B8" s="9">
        <v>1.7</v>
      </c>
      <c r="C8" s="9">
        <v>2.2000000000000002</v>
      </c>
      <c r="D8" s="9">
        <v>1.3</v>
      </c>
      <c r="E8" s="10">
        <v>3263445</v>
      </c>
    </row>
    <row r="9" spans="1:5" x14ac:dyDescent="0.3">
      <c r="A9" s="7" t="s">
        <v>9</v>
      </c>
      <c r="B9" s="9">
        <v>1.5</v>
      </c>
      <c r="C9" s="9">
        <v>2</v>
      </c>
      <c r="D9" s="9">
        <v>1.2</v>
      </c>
      <c r="E9" s="10">
        <v>1265415</v>
      </c>
    </row>
    <row r="10" spans="1:5" x14ac:dyDescent="0.3">
      <c r="A10" s="5"/>
      <c r="B10" s="5"/>
      <c r="C10" s="5"/>
      <c r="D10" s="5"/>
      <c r="E10" s="5"/>
    </row>
    <row r="11" spans="1:5" x14ac:dyDescent="0.3">
      <c r="A11" s="5"/>
      <c r="B11" s="5"/>
      <c r="C11" s="5"/>
      <c r="D11" s="5"/>
      <c r="E11" s="5"/>
    </row>
    <row r="12" spans="1:5" x14ac:dyDescent="0.3">
      <c r="A12" s="4" t="s">
        <v>10</v>
      </c>
      <c r="B12" s="5"/>
      <c r="C12" s="5"/>
      <c r="D12" s="5"/>
      <c r="E12" s="5"/>
    </row>
    <row r="13" spans="1:5" x14ac:dyDescent="0.3">
      <c r="A13" s="6" t="s">
        <v>2</v>
      </c>
      <c r="B13" s="6" t="s">
        <v>11</v>
      </c>
      <c r="C13" s="6" t="s">
        <v>12</v>
      </c>
      <c r="D13" s="6" t="s">
        <v>13</v>
      </c>
      <c r="E13" s="6" t="s">
        <v>14</v>
      </c>
    </row>
    <row r="14" spans="1:5" x14ac:dyDescent="0.3">
      <c r="A14" s="7" t="s">
        <v>7</v>
      </c>
      <c r="B14" s="10">
        <v>0</v>
      </c>
      <c r="C14" s="10">
        <v>0</v>
      </c>
      <c r="D14" s="10">
        <v>0</v>
      </c>
      <c r="E14" s="10">
        <f>SUM(B14:D14)</f>
        <v>0</v>
      </c>
    </row>
    <row r="15" spans="1:5" x14ac:dyDescent="0.3">
      <c r="A15" s="7" t="s">
        <v>8</v>
      </c>
      <c r="B15" s="10">
        <v>0</v>
      </c>
      <c r="C15" s="10">
        <v>0</v>
      </c>
      <c r="D15" s="10">
        <v>0</v>
      </c>
      <c r="E15" s="10">
        <f>SUM(B15:D15)</f>
        <v>0</v>
      </c>
    </row>
    <row r="16" spans="1:5" x14ac:dyDescent="0.3">
      <c r="A16" s="7" t="s">
        <v>9</v>
      </c>
      <c r="B16" s="10">
        <v>0</v>
      </c>
      <c r="C16" s="10">
        <v>0</v>
      </c>
      <c r="D16" s="10">
        <v>0</v>
      </c>
      <c r="E16" s="10">
        <f>SUM(B16:D16)</f>
        <v>0</v>
      </c>
    </row>
    <row r="17" spans="1:5" x14ac:dyDescent="0.3">
      <c r="A17" s="8" t="s">
        <v>15</v>
      </c>
      <c r="B17" s="11">
        <f>SUM(B14:B16)</f>
        <v>0</v>
      </c>
      <c r="C17" s="11">
        <f>SUM(C14:C16)</f>
        <v>0</v>
      </c>
      <c r="D17" s="11">
        <f>SUM(D14:D16)</f>
        <v>0</v>
      </c>
      <c r="E17" s="11">
        <f>SUM(E14:E16)</f>
        <v>0</v>
      </c>
    </row>
    <row r="18" spans="1:5" x14ac:dyDescent="0.3">
      <c r="A18" s="5"/>
      <c r="B18" s="5"/>
      <c r="C18" s="5"/>
      <c r="D18" s="5"/>
      <c r="E18" s="5"/>
    </row>
    <row r="19" spans="1:5" x14ac:dyDescent="0.3">
      <c r="A19" s="5"/>
      <c r="B19" s="5"/>
      <c r="C19" s="5"/>
      <c r="D19" s="5"/>
      <c r="E19" s="5"/>
    </row>
    <row r="20" spans="1:5" x14ac:dyDescent="0.3">
      <c r="A20" s="4" t="s">
        <v>16</v>
      </c>
      <c r="B20" s="5"/>
      <c r="C20" s="5"/>
      <c r="D20" s="5"/>
      <c r="E20" s="5"/>
    </row>
    <row r="21" spans="1:5" x14ac:dyDescent="0.3">
      <c r="A21" s="6" t="s">
        <v>2</v>
      </c>
      <c r="B21" s="6" t="s">
        <v>17</v>
      </c>
      <c r="C21" s="6" t="s">
        <v>18</v>
      </c>
      <c r="D21" s="6" t="s">
        <v>19</v>
      </c>
      <c r="E21" s="6" t="s">
        <v>20</v>
      </c>
    </row>
    <row r="22" spans="1:5" x14ac:dyDescent="0.3">
      <c r="A22" s="7" t="s">
        <v>7</v>
      </c>
      <c r="B22" s="10">
        <f t="shared" ref="B22:D24" si="0">B14*B7</f>
        <v>0</v>
      </c>
      <c r="C22" s="10">
        <f t="shared" si="0"/>
        <v>0</v>
      </c>
      <c r="D22" s="10">
        <f t="shared" si="0"/>
        <v>0</v>
      </c>
      <c r="E22" s="10">
        <f>SUM(B22:D22)</f>
        <v>0</v>
      </c>
    </row>
    <row r="23" spans="1:5" x14ac:dyDescent="0.3">
      <c r="A23" s="7" t="s">
        <v>8</v>
      </c>
      <c r="B23" s="10">
        <f t="shared" si="0"/>
        <v>0</v>
      </c>
      <c r="C23" s="10">
        <f t="shared" si="0"/>
        <v>0</v>
      </c>
      <c r="D23" s="10">
        <f t="shared" si="0"/>
        <v>0</v>
      </c>
      <c r="E23" s="10">
        <f>SUM(B23:D23)</f>
        <v>0</v>
      </c>
    </row>
    <row r="24" spans="1:5" x14ac:dyDescent="0.3">
      <c r="A24" s="7" t="s">
        <v>9</v>
      </c>
      <c r="B24" s="10">
        <f t="shared" si="0"/>
        <v>0</v>
      </c>
      <c r="C24" s="10">
        <f t="shared" si="0"/>
        <v>0</v>
      </c>
      <c r="D24" s="10">
        <f t="shared" si="0"/>
        <v>0</v>
      </c>
      <c r="E24" s="10">
        <f>SUM(B24:D24)</f>
        <v>0</v>
      </c>
    </row>
    <row r="25" spans="1:5" x14ac:dyDescent="0.3">
      <c r="A25" s="8" t="s">
        <v>21</v>
      </c>
      <c r="B25" s="11">
        <f>SUM(B22:B24)</f>
        <v>0</v>
      </c>
      <c r="C25" s="11">
        <f>SUM(C22:C24)</f>
        <v>0</v>
      </c>
      <c r="D25" s="11">
        <f>SUM(D22:D24)</f>
        <v>0</v>
      </c>
      <c r="E25" s="11">
        <f>SUM(E22:E24)</f>
        <v>0</v>
      </c>
    </row>
    <row r="26" spans="1:5" x14ac:dyDescent="0.3">
      <c r="A26" s="5"/>
      <c r="B26" s="5"/>
      <c r="C26" s="5"/>
      <c r="D26" s="5"/>
      <c r="E26" s="5"/>
    </row>
    <row r="27" spans="1:5" x14ac:dyDescent="0.3">
      <c r="A27" s="5"/>
      <c r="B27" s="5"/>
      <c r="C27" s="5"/>
      <c r="D27" s="5"/>
      <c r="E27" s="5"/>
    </row>
    <row r="28" spans="1:5" x14ac:dyDescent="0.3">
      <c r="A28" s="4" t="s">
        <v>22</v>
      </c>
      <c r="B28" s="5"/>
      <c r="C28" s="5"/>
      <c r="D28" s="5"/>
      <c r="E28" s="5"/>
    </row>
    <row r="29" spans="1:5" x14ac:dyDescent="0.3">
      <c r="A29" s="6" t="s">
        <v>23</v>
      </c>
      <c r="B29" s="6" t="s">
        <v>24</v>
      </c>
      <c r="C29" s="6" t="s">
        <v>25</v>
      </c>
      <c r="D29" s="5"/>
      <c r="E29" s="5"/>
    </row>
    <row r="30" spans="1:5" x14ac:dyDescent="0.3">
      <c r="A30" s="7" t="s">
        <v>26</v>
      </c>
      <c r="B30" s="10">
        <f>B17</f>
        <v>0</v>
      </c>
      <c r="C30" s="10">
        <v>1500000</v>
      </c>
      <c r="D30" s="5"/>
      <c r="E30" s="5"/>
    </row>
    <row r="31" spans="1:5" x14ac:dyDescent="0.3">
      <c r="A31" s="7" t="s">
        <v>27</v>
      </c>
      <c r="B31" s="10">
        <f>C17</f>
        <v>0</v>
      </c>
      <c r="C31" s="10">
        <v>1800000</v>
      </c>
      <c r="D31" s="5"/>
      <c r="E31" s="5"/>
    </row>
    <row r="32" spans="1:5" x14ac:dyDescent="0.3">
      <c r="A32" s="7" t="s">
        <v>28</v>
      </c>
      <c r="B32" s="10">
        <f>D17</f>
        <v>0</v>
      </c>
      <c r="C32" s="10">
        <v>700000</v>
      </c>
      <c r="D32" s="5"/>
      <c r="E32" s="5"/>
    </row>
    <row r="33" spans="1:5" x14ac:dyDescent="0.3">
      <c r="A33" s="7" t="s">
        <v>29</v>
      </c>
      <c r="B33" s="10">
        <f>E17</f>
        <v>0</v>
      </c>
      <c r="C33" s="10">
        <v>4000000</v>
      </c>
      <c r="D33" s="5"/>
      <c r="E33" s="5"/>
    </row>
    <row r="34" spans="1:5" x14ac:dyDescent="0.3">
      <c r="A34" s="7" t="s">
        <v>30</v>
      </c>
      <c r="B34" s="10">
        <f>E22</f>
        <v>0</v>
      </c>
      <c r="C34" s="10">
        <v>5316462</v>
      </c>
      <c r="D34" s="5"/>
      <c r="E34" s="5"/>
    </row>
    <row r="35" spans="1:5" x14ac:dyDescent="0.3">
      <c r="A35" s="7" t="s">
        <v>31</v>
      </c>
      <c r="B35" s="10">
        <f>E23</f>
        <v>0</v>
      </c>
      <c r="C35" s="10">
        <v>3263445</v>
      </c>
      <c r="D35" s="5"/>
      <c r="E35" s="5"/>
    </row>
    <row r="36" spans="1:5" x14ac:dyDescent="0.3">
      <c r="A36" s="7" t="s">
        <v>32</v>
      </c>
      <c r="B36" s="10">
        <f>E24</f>
        <v>0</v>
      </c>
      <c r="C36" s="10">
        <v>1265415</v>
      </c>
      <c r="D36" s="5"/>
      <c r="E36" s="5"/>
    </row>
    <row r="37" spans="1:5" x14ac:dyDescent="0.3">
      <c r="A37" s="5"/>
      <c r="B37" s="5"/>
      <c r="C37" s="5"/>
      <c r="D37" s="5"/>
      <c r="E37" s="5"/>
    </row>
    <row r="40" spans="1:5" x14ac:dyDescent="0.3">
      <c r="A40"/>
    </row>
    <row r="41" spans="1:5" x14ac:dyDescent="0.3">
      <c r="A4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F768-E728-4237-99BF-7107086508F0}">
  <sheetPr>
    <tabColor theme="6" tint="0.79998168889431442"/>
  </sheetPr>
  <dimension ref="A1:P68"/>
  <sheetViews>
    <sheetView topLeftCell="A3" zoomScale="80" zoomScaleNormal="80" workbookViewId="0">
      <selection activeCell="L7" sqref="L7"/>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6.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49</v>
      </c>
      <c r="L4" s="24" t="s">
        <v>50</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20" t="s">
        <v>34</v>
      </c>
      <c r="L6" s="20" t="s">
        <v>36</v>
      </c>
      <c r="M6" s="5"/>
    </row>
    <row r="7" spans="1:16" x14ac:dyDescent="0.3">
      <c r="A7" s="7" t="s">
        <v>7</v>
      </c>
      <c r="B7" s="9">
        <v>2</v>
      </c>
      <c r="C7" s="9">
        <v>2.4</v>
      </c>
      <c r="D7" s="9">
        <v>1.4</v>
      </c>
      <c r="E7" s="10">
        <v>5316462</v>
      </c>
      <c r="K7" s="20" t="s">
        <v>39</v>
      </c>
      <c r="L7" s="16" t="s">
        <v>40</v>
      </c>
      <c r="M7" s="5"/>
    </row>
    <row r="8" spans="1:16" x14ac:dyDescent="0.3">
      <c r="A8" s="7" t="s">
        <v>8</v>
      </c>
      <c r="B8" s="9">
        <v>1.7</v>
      </c>
      <c r="C8" s="9">
        <v>2.2000000000000002</v>
      </c>
      <c r="D8" s="9">
        <v>1.3</v>
      </c>
      <c r="E8" s="10">
        <v>3263445</v>
      </c>
      <c r="K8" s="20" t="s">
        <v>41</v>
      </c>
      <c r="L8" s="16" t="s">
        <v>42</v>
      </c>
      <c r="M8" s="5"/>
    </row>
    <row r="9" spans="1:16" x14ac:dyDescent="0.3">
      <c r="A9" s="7" t="s">
        <v>9</v>
      </c>
      <c r="B9" s="9">
        <v>1.5</v>
      </c>
      <c r="C9" s="9">
        <v>2</v>
      </c>
      <c r="D9" s="9">
        <v>1.2</v>
      </c>
      <c r="E9" s="10">
        <v>1265415</v>
      </c>
      <c r="K9" s="20" t="s">
        <v>43</v>
      </c>
      <c r="L9" s="23">
        <v>9845322</v>
      </c>
      <c r="M9" s="5"/>
    </row>
    <row r="10" spans="1:16" x14ac:dyDescent="0.3">
      <c r="A10" s="5"/>
      <c r="B10" s="5"/>
      <c r="C10" s="5"/>
      <c r="D10" s="29" t="s">
        <v>72</v>
      </c>
      <c r="E10" s="27">
        <f>SUM(E7:E9)</f>
        <v>9845322</v>
      </c>
      <c r="K10" s="20" t="s">
        <v>44</v>
      </c>
      <c r="L10" s="23">
        <v>4000000</v>
      </c>
      <c r="M10" s="5"/>
      <c r="N10" s="5"/>
      <c r="O10" s="5"/>
      <c r="P10" s="5"/>
    </row>
    <row r="11" spans="1:16" x14ac:dyDescent="0.3">
      <c r="A11" s="5"/>
      <c r="B11" s="5"/>
      <c r="C11" s="5"/>
      <c r="D11" s="5"/>
      <c r="E11" s="5"/>
      <c r="K11" s="20" t="s">
        <v>45</v>
      </c>
      <c r="L11" s="23">
        <v>8063039</v>
      </c>
      <c r="M11" s="5"/>
    </row>
    <row r="12" spans="1:16" x14ac:dyDescent="0.3">
      <c r="A12" s="4" t="s">
        <v>10</v>
      </c>
      <c r="B12" s="5"/>
      <c r="C12" s="5"/>
      <c r="D12" s="5"/>
      <c r="E12" s="5"/>
      <c r="K12" s="20" t="s">
        <v>46</v>
      </c>
      <c r="L12" s="23">
        <v>1782283</v>
      </c>
      <c r="M12" s="5"/>
    </row>
    <row r="13" spans="1:16" x14ac:dyDescent="0.3">
      <c r="A13" s="6" t="s">
        <v>2</v>
      </c>
      <c r="B13" s="6" t="s">
        <v>11</v>
      </c>
      <c r="C13" s="6" t="s">
        <v>12</v>
      </c>
      <c r="D13" s="6" t="s">
        <v>13</v>
      </c>
      <c r="E13" s="6" t="s">
        <v>14</v>
      </c>
      <c r="K13" s="20" t="s">
        <v>47</v>
      </c>
      <c r="L13" s="16" t="s">
        <v>48</v>
      </c>
      <c r="M13" s="5"/>
    </row>
    <row r="14" spans="1:16" x14ac:dyDescent="0.3">
      <c r="A14" s="7" t="s">
        <v>7</v>
      </c>
      <c r="B14" s="10">
        <v>1500000</v>
      </c>
      <c r="C14" s="10">
        <v>965192.49999999965</v>
      </c>
      <c r="D14" s="10">
        <v>0</v>
      </c>
      <c r="E14" s="10">
        <f>SUM(B14:D14)</f>
        <v>2465192.4999999995</v>
      </c>
      <c r="K14" s="13"/>
      <c r="L14" s="15"/>
      <c r="M14" s="15"/>
    </row>
    <row r="15" spans="1:16" x14ac:dyDescent="0.3">
      <c r="A15" s="7" t="s">
        <v>8</v>
      </c>
      <c r="B15" s="10">
        <v>0</v>
      </c>
      <c r="C15" s="10">
        <v>834807.50000000035</v>
      </c>
      <c r="D15" s="10">
        <v>700000</v>
      </c>
      <c r="E15" s="10">
        <f>SUM(B15:D15)</f>
        <v>1534807.5000000005</v>
      </c>
      <c r="K15" s="25" t="s">
        <v>51</v>
      </c>
      <c r="L15" s="5"/>
      <c r="M15" s="5"/>
      <c r="N15" s="5"/>
      <c r="O15" s="5"/>
    </row>
    <row r="16" spans="1:16" x14ac:dyDescent="0.3">
      <c r="A16" s="7" t="s">
        <v>9</v>
      </c>
      <c r="B16" s="10">
        <v>0</v>
      </c>
      <c r="C16" s="10">
        <v>0</v>
      </c>
      <c r="D16" s="10">
        <v>0</v>
      </c>
      <c r="E16" s="10">
        <f>SUM(B16:D16)</f>
        <v>0</v>
      </c>
      <c r="K16" s="18" t="s">
        <v>2</v>
      </c>
      <c r="L16" s="19" t="s">
        <v>11</v>
      </c>
      <c r="M16" s="19" t="s">
        <v>12</v>
      </c>
      <c r="N16" s="19" t="s">
        <v>13</v>
      </c>
      <c r="O16" s="19" t="s">
        <v>29</v>
      </c>
    </row>
    <row r="17" spans="1:15" x14ac:dyDescent="0.3">
      <c r="A17" s="8" t="s">
        <v>15</v>
      </c>
      <c r="B17" s="11">
        <f>SUM(B14:B16)</f>
        <v>1500000</v>
      </c>
      <c r="C17" s="11">
        <f>SUM(C14:C16)</f>
        <v>1800000</v>
      </c>
      <c r="D17" s="11">
        <f>SUM(D14:D16)</f>
        <v>700000</v>
      </c>
      <c r="E17" s="11">
        <f>SUM(E14:E16)</f>
        <v>4000000</v>
      </c>
      <c r="K17" s="16" t="s">
        <v>7</v>
      </c>
      <c r="L17" s="21">
        <v>1500000</v>
      </c>
      <c r="M17" s="21">
        <v>965193</v>
      </c>
      <c r="N17" s="22">
        <v>0</v>
      </c>
      <c r="O17" s="21">
        <v>2465193</v>
      </c>
    </row>
    <row r="18" spans="1:15" x14ac:dyDescent="0.3">
      <c r="A18" s="5"/>
      <c r="B18" s="5"/>
      <c r="C18" s="5"/>
      <c r="D18" s="5"/>
      <c r="E18" s="5"/>
      <c r="K18" s="16" t="s">
        <v>8</v>
      </c>
      <c r="L18" s="22">
        <v>0</v>
      </c>
      <c r="M18" s="21">
        <v>834808</v>
      </c>
      <c r="N18" s="21">
        <v>700000</v>
      </c>
      <c r="O18" s="21">
        <v>1534808</v>
      </c>
    </row>
    <row r="19" spans="1:15" x14ac:dyDescent="0.3">
      <c r="A19" s="5"/>
      <c r="B19" s="5"/>
      <c r="C19" s="5"/>
      <c r="D19" s="5"/>
      <c r="E19" s="5"/>
      <c r="K19" s="16" t="s">
        <v>9</v>
      </c>
      <c r="L19" s="22">
        <v>0</v>
      </c>
      <c r="M19" s="22">
        <v>0</v>
      </c>
      <c r="N19" s="22">
        <v>0</v>
      </c>
      <c r="O19" s="22">
        <v>0</v>
      </c>
    </row>
    <row r="20" spans="1:15" x14ac:dyDescent="0.3">
      <c r="A20" s="4" t="s">
        <v>16</v>
      </c>
      <c r="B20" s="5"/>
      <c r="C20" s="5"/>
      <c r="D20" s="5"/>
      <c r="E20" s="5"/>
      <c r="K20" s="16" t="s">
        <v>15</v>
      </c>
      <c r="L20" s="21">
        <v>1500000</v>
      </c>
      <c r="M20" s="21">
        <v>1800000</v>
      </c>
      <c r="N20" s="21">
        <v>700000</v>
      </c>
      <c r="O20" s="21">
        <v>4000000</v>
      </c>
    </row>
    <row r="21" spans="1:15" x14ac:dyDescent="0.3">
      <c r="A21" s="6" t="s">
        <v>2</v>
      </c>
      <c r="B21" s="6" t="s">
        <v>17</v>
      </c>
      <c r="C21" s="6" t="s">
        <v>18</v>
      </c>
      <c r="D21" s="6" t="s">
        <v>19</v>
      </c>
      <c r="E21" s="6" t="s">
        <v>20</v>
      </c>
    </row>
    <row r="22" spans="1:15" x14ac:dyDescent="0.3">
      <c r="A22" s="7" t="s">
        <v>7</v>
      </c>
      <c r="B22" s="10">
        <f t="shared" ref="B22:D24" si="0">B14*B7</f>
        <v>3000000</v>
      </c>
      <c r="C22" s="10">
        <f t="shared" si="0"/>
        <v>2316461.9999999991</v>
      </c>
      <c r="D22" s="10">
        <f t="shared" si="0"/>
        <v>0</v>
      </c>
      <c r="E22" s="10">
        <f>SUM(B22:D22)</f>
        <v>5316461.9999999991</v>
      </c>
      <c r="K22" s="5" t="s">
        <v>52</v>
      </c>
      <c r="L22" s="5"/>
      <c r="M22" s="5"/>
      <c r="N22" s="5"/>
      <c r="O22" s="5"/>
    </row>
    <row r="23" spans="1:15" x14ac:dyDescent="0.3">
      <c r="A23" s="7" t="s">
        <v>8</v>
      </c>
      <c r="B23" s="10">
        <f t="shared" si="0"/>
        <v>0</v>
      </c>
      <c r="C23" s="10">
        <f t="shared" si="0"/>
        <v>1836576.5000000009</v>
      </c>
      <c r="D23" s="10">
        <f t="shared" si="0"/>
        <v>910000</v>
      </c>
      <c r="E23" s="10">
        <f>SUM(B23:D23)</f>
        <v>2746576.5000000009</v>
      </c>
      <c r="K23" s="18" t="s">
        <v>2</v>
      </c>
      <c r="L23" s="19" t="s">
        <v>17</v>
      </c>
      <c r="M23" s="19" t="s">
        <v>18</v>
      </c>
      <c r="N23" s="19" t="s">
        <v>19</v>
      </c>
      <c r="O23" s="19" t="s">
        <v>20</v>
      </c>
    </row>
    <row r="24" spans="1:15" x14ac:dyDescent="0.3">
      <c r="A24" s="7" t="s">
        <v>9</v>
      </c>
      <c r="B24" s="10">
        <f t="shared" si="0"/>
        <v>0</v>
      </c>
      <c r="C24" s="10">
        <f t="shared" si="0"/>
        <v>0</v>
      </c>
      <c r="D24" s="10">
        <f t="shared" si="0"/>
        <v>0</v>
      </c>
      <c r="E24" s="10">
        <f>SUM(B24:D24)</f>
        <v>0</v>
      </c>
      <c r="K24" s="16" t="s">
        <v>7</v>
      </c>
      <c r="L24" s="21">
        <v>3000000</v>
      </c>
      <c r="M24" s="21">
        <v>2316462</v>
      </c>
      <c r="N24" s="22">
        <v>0</v>
      </c>
      <c r="O24" s="21">
        <v>5316462</v>
      </c>
    </row>
    <row r="25" spans="1:15" x14ac:dyDescent="0.3">
      <c r="A25" s="8" t="s">
        <v>21</v>
      </c>
      <c r="B25" s="11">
        <f>SUM(B22:B24)</f>
        <v>3000000</v>
      </c>
      <c r="C25" s="11">
        <f>SUM(C22:C24)</f>
        <v>4153038.5</v>
      </c>
      <c r="D25" s="11">
        <f>SUM(D22:D24)</f>
        <v>910000</v>
      </c>
      <c r="E25" s="11">
        <f>SUM(E22:E24)</f>
        <v>8063038.5</v>
      </c>
      <c r="K25" s="16" t="s">
        <v>8</v>
      </c>
      <c r="L25" s="22">
        <v>0</v>
      </c>
      <c r="M25" s="21">
        <v>1836577</v>
      </c>
      <c r="N25" s="21">
        <v>910000</v>
      </c>
      <c r="O25" s="21">
        <v>2746577</v>
      </c>
    </row>
    <row r="26" spans="1:15" x14ac:dyDescent="0.3">
      <c r="A26" s="5"/>
      <c r="B26" s="5"/>
      <c r="C26" s="5"/>
      <c r="D26" s="5"/>
      <c r="E26" s="5"/>
      <c r="K26" s="16" t="s">
        <v>9</v>
      </c>
      <c r="L26" s="22">
        <v>0</v>
      </c>
      <c r="M26" s="22">
        <v>0</v>
      </c>
      <c r="N26" s="22">
        <v>0</v>
      </c>
      <c r="O26" s="22">
        <v>0</v>
      </c>
    </row>
    <row r="27" spans="1:15" x14ac:dyDescent="0.3">
      <c r="A27" s="5"/>
      <c r="B27" s="5"/>
      <c r="C27" s="5"/>
      <c r="D27" s="29" t="s">
        <v>73</v>
      </c>
      <c r="E27" s="27">
        <f>E10-E25</f>
        <v>1782283.5</v>
      </c>
      <c r="K27" s="16" t="s">
        <v>15</v>
      </c>
      <c r="L27" s="21">
        <v>3000000</v>
      </c>
      <c r="M27" s="21">
        <v>4153039</v>
      </c>
      <c r="N27" s="21">
        <v>910000</v>
      </c>
      <c r="O27" s="21">
        <v>8063039</v>
      </c>
    </row>
    <row r="28" spans="1:15" x14ac:dyDescent="0.3">
      <c r="A28" s="4" t="s">
        <v>22</v>
      </c>
      <c r="B28" s="5"/>
      <c r="C28" s="5"/>
      <c r="D28" s="5"/>
      <c r="E28" s="5"/>
    </row>
    <row r="29" spans="1:15" x14ac:dyDescent="0.3">
      <c r="A29" s="6" t="s">
        <v>23</v>
      </c>
      <c r="B29" s="6" t="s">
        <v>24</v>
      </c>
      <c r="C29" s="6" t="s">
        <v>25</v>
      </c>
      <c r="D29" s="5"/>
      <c r="E29" s="5"/>
      <c r="K29" s="2" t="s">
        <v>35</v>
      </c>
    </row>
    <row r="30" spans="1:15" x14ac:dyDescent="0.3">
      <c r="A30" s="7" t="s">
        <v>26</v>
      </c>
      <c r="B30" s="10">
        <f>B17</f>
        <v>1500000</v>
      </c>
      <c r="C30" s="10">
        <v>1500000</v>
      </c>
      <c r="D30" s="5"/>
      <c r="E30" s="5"/>
      <c r="K30" s="17" t="s">
        <v>23</v>
      </c>
      <c r="L30" s="17" t="s">
        <v>53</v>
      </c>
    </row>
    <row r="31" spans="1:15" x14ac:dyDescent="0.3">
      <c r="A31" s="7" t="s">
        <v>27</v>
      </c>
      <c r="B31" s="10">
        <f>C17</f>
        <v>1800000</v>
      </c>
      <c r="C31" s="10">
        <v>1800000</v>
      </c>
      <c r="D31" s="5"/>
      <c r="E31" s="5"/>
      <c r="K31" s="20" t="s">
        <v>54</v>
      </c>
      <c r="L31" s="20" t="s">
        <v>55</v>
      </c>
    </row>
    <row r="32" spans="1:15" x14ac:dyDescent="0.3">
      <c r="A32" s="7" t="s">
        <v>28</v>
      </c>
      <c r="B32" s="10">
        <f>D17</f>
        <v>700000</v>
      </c>
      <c r="C32" s="10">
        <v>700000</v>
      </c>
      <c r="D32" s="5"/>
      <c r="E32" s="5"/>
      <c r="K32" s="20" t="s">
        <v>56</v>
      </c>
      <c r="L32" s="20" t="s">
        <v>55</v>
      </c>
    </row>
    <row r="33" spans="1:12" x14ac:dyDescent="0.3">
      <c r="A33" s="7" t="s">
        <v>29</v>
      </c>
      <c r="B33" s="10">
        <f>E17</f>
        <v>4000000</v>
      </c>
      <c r="C33" s="10">
        <v>4000000</v>
      </c>
      <c r="D33" s="5"/>
      <c r="E33" s="5"/>
      <c r="K33" s="20" t="s">
        <v>57</v>
      </c>
      <c r="L33" s="20" t="s">
        <v>55</v>
      </c>
    </row>
    <row r="34" spans="1:12" x14ac:dyDescent="0.3">
      <c r="A34" s="7" t="s">
        <v>30</v>
      </c>
      <c r="B34" s="10">
        <f>E22</f>
        <v>5316461.9999999991</v>
      </c>
      <c r="C34" s="10">
        <v>5316462</v>
      </c>
      <c r="D34" s="5"/>
      <c r="E34" s="5"/>
      <c r="K34" s="20" t="s">
        <v>29</v>
      </c>
      <c r="L34" s="20" t="s">
        <v>55</v>
      </c>
    </row>
    <row r="35" spans="1:12" x14ac:dyDescent="0.3">
      <c r="A35" s="7" t="s">
        <v>31</v>
      </c>
      <c r="B35" s="28">
        <f>E23</f>
        <v>2746576.5000000009</v>
      </c>
      <c r="C35" s="10">
        <v>3263445</v>
      </c>
      <c r="D35" s="5"/>
      <c r="E35" s="5"/>
      <c r="K35" s="20" t="s">
        <v>58</v>
      </c>
      <c r="L35" s="20" t="s">
        <v>59</v>
      </c>
    </row>
    <row r="36" spans="1:12" x14ac:dyDescent="0.3">
      <c r="A36" s="7" t="s">
        <v>32</v>
      </c>
      <c r="B36" s="28">
        <f>E24</f>
        <v>0</v>
      </c>
      <c r="C36" s="10">
        <v>1265415</v>
      </c>
      <c r="D36" s="5"/>
      <c r="E36" s="5"/>
    </row>
    <row r="37" spans="1:12" x14ac:dyDescent="0.3">
      <c r="A37" s="5"/>
      <c r="B37" s="5"/>
      <c r="C37" s="5"/>
      <c r="D37" s="5"/>
      <c r="E37" s="5"/>
      <c r="K37" s="26" t="s">
        <v>60</v>
      </c>
    </row>
    <row r="38" spans="1:12" x14ac:dyDescent="0.3">
      <c r="K38" s="5" t="s">
        <v>61</v>
      </c>
    </row>
    <row r="39" spans="1:12" x14ac:dyDescent="0.3">
      <c r="A39" s="13"/>
      <c r="B39" s="13"/>
      <c r="K39" s="5" t="s">
        <v>62</v>
      </c>
    </row>
    <row r="40" spans="1:12" x14ac:dyDescent="0.3">
      <c r="A40" s="14"/>
      <c r="B40" s="12"/>
      <c r="K40" s="5" t="s">
        <v>63</v>
      </c>
    </row>
    <row r="41" spans="1:12" x14ac:dyDescent="0.3">
      <c r="A41" s="14"/>
      <c r="B41" s="12"/>
      <c r="K41" s="5" t="s">
        <v>64</v>
      </c>
    </row>
    <row r="42" spans="1:12" x14ac:dyDescent="0.3">
      <c r="A42" s="14"/>
      <c r="B42" s="12"/>
      <c r="K42" s="5" t="s">
        <v>63</v>
      </c>
    </row>
    <row r="43" spans="1:12" x14ac:dyDescent="0.3">
      <c r="A43" s="14"/>
      <c r="B43" s="12"/>
      <c r="K43" s="5" t="s">
        <v>65</v>
      </c>
    </row>
    <row r="44" spans="1:12" x14ac:dyDescent="0.3">
      <c r="A44" s="14"/>
      <c r="B44" s="12"/>
      <c r="K44" s="5" t="s">
        <v>63</v>
      </c>
    </row>
    <row r="45" spans="1:12" x14ac:dyDescent="0.3">
      <c r="A45" s="14"/>
      <c r="B45" s="12"/>
      <c r="K45" s="5" t="s">
        <v>66</v>
      </c>
    </row>
    <row r="46" spans="1:12" x14ac:dyDescent="0.3">
      <c r="A46" s="14"/>
      <c r="B46" s="12"/>
      <c r="K46" s="5" t="s">
        <v>63</v>
      </c>
    </row>
    <row r="47" spans="1:12" x14ac:dyDescent="0.3">
      <c r="A47" s="14"/>
      <c r="B47" s="12"/>
      <c r="K47" s="5" t="s">
        <v>67</v>
      </c>
    </row>
    <row r="48" spans="1:12" x14ac:dyDescent="0.3">
      <c r="A48" s="14"/>
      <c r="B48" s="12"/>
      <c r="K48" s="5" t="s">
        <v>63</v>
      </c>
    </row>
    <row r="49" spans="1:12" x14ac:dyDescent="0.3">
      <c r="A49" s="14"/>
      <c r="B49" s="12"/>
      <c r="K49" s="5" t="s">
        <v>68</v>
      </c>
    </row>
    <row r="50" spans="1:12" x14ac:dyDescent="0.3">
      <c r="K50" s="5" t="s">
        <v>63</v>
      </c>
    </row>
    <row r="51" spans="1:12" x14ac:dyDescent="0.3">
      <c r="K51" s="5" t="s">
        <v>69</v>
      </c>
    </row>
    <row r="52" spans="1:12" x14ac:dyDescent="0.3">
      <c r="K52" s="5" t="s">
        <v>63</v>
      </c>
    </row>
    <row r="53" spans="1:12" x14ac:dyDescent="0.3">
      <c r="K53" s="5" t="s">
        <v>70</v>
      </c>
    </row>
    <row r="54" spans="1:12" x14ac:dyDescent="0.3">
      <c r="K54" s="5" t="s">
        <v>63</v>
      </c>
    </row>
    <row r="55" spans="1:12" x14ac:dyDescent="0.3">
      <c r="K55" s="5" t="s">
        <v>71</v>
      </c>
    </row>
    <row r="58" spans="1:12" x14ac:dyDescent="0.3">
      <c r="K58"/>
      <c r="L58"/>
    </row>
    <row r="59" spans="1:12" x14ac:dyDescent="0.3">
      <c r="K59"/>
      <c r="L59"/>
    </row>
    <row r="60" spans="1:12" x14ac:dyDescent="0.3">
      <c r="K60"/>
      <c r="L60"/>
    </row>
    <row r="61" spans="1:12" x14ac:dyDescent="0.3">
      <c r="K61"/>
      <c r="L61"/>
    </row>
    <row r="62" spans="1:12" x14ac:dyDescent="0.3">
      <c r="K62"/>
      <c r="L62"/>
    </row>
    <row r="63" spans="1:12" x14ac:dyDescent="0.3">
      <c r="K63"/>
      <c r="L63"/>
    </row>
    <row r="64" spans="1:12" x14ac:dyDescent="0.3">
      <c r="K64"/>
      <c r="L64"/>
    </row>
    <row r="65" spans="11:12" x14ac:dyDescent="0.3">
      <c r="K65"/>
      <c r="L65"/>
    </row>
    <row r="66" spans="11:12" x14ac:dyDescent="0.3">
      <c r="K66"/>
      <c r="L66"/>
    </row>
    <row r="67" spans="11:12" x14ac:dyDescent="0.3">
      <c r="K67"/>
      <c r="L67"/>
    </row>
    <row r="68" spans="11:12" x14ac:dyDescent="0.3">
      <c r="K68"/>
      <c r="L68"/>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4222-5003-4382-B095-6F524530F46E}">
  <sheetPr>
    <tabColor theme="6" tint="0.79998168889431442"/>
  </sheetPr>
  <dimension ref="A1:P68"/>
  <sheetViews>
    <sheetView topLeftCell="A3" zoomScale="80" zoomScaleNormal="80" workbookViewId="0">
      <selection activeCell="L42" sqref="L42"/>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81</v>
      </c>
      <c r="L4" s="24" t="s">
        <v>82</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20" t="s">
        <v>34</v>
      </c>
      <c r="L6" s="20" t="s">
        <v>75</v>
      </c>
      <c r="M6" s="5"/>
    </row>
    <row r="7" spans="1:16" x14ac:dyDescent="0.3">
      <c r="A7" s="7" t="s">
        <v>7</v>
      </c>
      <c r="B7" s="9">
        <v>2</v>
      </c>
      <c r="C7" s="9">
        <v>2.4</v>
      </c>
      <c r="D7" s="9">
        <v>1.4</v>
      </c>
      <c r="E7" s="10">
        <v>5316462</v>
      </c>
      <c r="K7" s="20" t="s">
        <v>39</v>
      </c>
      <c r="L7" s="16" t="s">
        <v>76</v>
      </c>
      <c r="M7" s="5"/>
    </row>
    <row r="8" spans="1:16" x14ac:dyDescent="0.3">
      <c r="A8" s="7" t="s">
        <v>8</v>
      </c>
      <c r="B8" s="9">
        <v>1.7</v>
      </c>
      <c r="C8" s="9">
        <v>2.2000000000000002</v>
      </c>
      <c r="D8" s="9">
        <v>1.3</v>
      </c>
      <c r="E8" s="10">
        <v>3263445</v>
      </c>
      <c r="K8" s="20" t="s">
        <v>41</v>
      </c>
      <c r="L8" s="16" t="s">
        <v>77</v>
      </c>
      <c r="M8" s="5"/>
    </row>
    <row r="9" spans="1:16" x14ac:dyDescent="0.3">
      <c r="A9" s="7" t="s">
        <v>9</v>
      </c>
      <c r="B9" s="9">
        <v>1.5</v>
      </c>
      <c r="C9" s="9">
        <v>2</v>
      </c>
      <c r="D9" s="9">
        <v>1.2</v>
      </c>
      <c r="E9" s="10">
        <v>1265415</v>
      </c>
      <c r="K9" s="20" t="s">
        <v>43</v>
      </c>
      <c r="L9" s="23">
        <v>9845322</v>
      </c>
      <c r="M9" s="5"/>
    </row>
    <row r="10" spans="1:16" x14ac:dyDescent="0.3">
      <c r="A10" s="5"/>
      <c r="B10" s="5"/>
      <c r="C10" s="5"/>
      <c r="D10" s="29" t="s">
        <v>72</v>
      </c>
      <c r="E10" s="27">
        <f>SUM(E7:E9)</f>
        <v>9845322</v>
      </c>
      <c r="K10" s="20" t="s">
        <v>44</v>
      </c>
      <c r="L10" s="23">
        <v>5000000</v>
      </c>
      <c r="M10" s="5"/>
      <c r="N10" s="5"/>
      <c r="O10" s="5"/>
      <c r="P10" s="5"/>
    </row>
    <row r="11" spans="1:16" x14ac:dyDescent="0.3">
      <c r="A11" s="5"/>
      <c r="B11" s="5"/>
      <c r="C11" s="5"/>
      <c r="D11" s="5"/>
      <c r="E11" s="5"/>
      <c r="K11" s="20" t="s">
        <v>78</v>
      </c>
      <c r="L11" s="23" t="s">
        <v>79</v>
      </c>
      <c r="M11" s="5"/>
    </row>
    <row r="12" spans="1:16" x14ac:dyDescent="0.3">
      <c r="A12" s="4" t="s">
        <v>10</v>
      </c>
      <c r="B12" s="5"/>
      <c r="C12" s="5"/>
      <c r="D12" s="5"/>
      <c r="E12" s="5"/>
      <c r="K12" s="20" t="s">
        <v>45</v>
      </c>
      <c r="L12" s="23">
        <v>9789420</v>
      </c>
      <c r="M12" s="5"/>
    </row>
    <row r="13" spans="1:16" x14ac:dyDescent="0.3">
      <c r="A13" s="6" t="s">
        <v>2</v>
      </c>
      <c r="B13" s="6" t="s">
        <v>11</v>
      </c>
      <c r="C13" s="6" t="s">
        <v>12</v>
      </c>
      <c r="D13" s="6" t="s">
        <v>13</v>
      </c>
      <c r="E13" s="6" t="s">
        <v>14</v>
      </c>
      <c r="K13" s="20" t="s">
        <v>46</v>
      </c>
      <c r="L13" s="32">
        <v>55902</v>
      </c>
      <c r="M13" s="5"/>
    </row>
    <row r="14" spans="1:16" x14ac:dyDescent="0.3">
      <c r="A14" s="7" t="s">
        <v>7</v>
      </c>
      <c r="B14" s="10">
        <v>2500000</v>
      </c>
      <c r="C14" s="10">
        <v>131859.16666666628</v>
      </c>
      <c r="D14" s="10">
        <v>0</v>
      </c>
      <c r="E14" s="10">
        <f>SUM(B14:D14)</f>
        <v>2631859.166666666</v>
      </c>
      <c r="K14" s="33" t="s">
        <v>47</v>
      </c>
      <c r="L14" s="33" t="s">
        <v>80</v>
      </c>
      <c r="M14" s="15"/>
    </row>
    <row r="15" spans="1:16" x14ac:dyDescent="0.3">
      <c r="A15" s="7" t="s">
        <v>8</v>
      </c>
      <c r="B15" s="10">
        <v>0</v>
      </c>
      <c r="C15" s="10">
        <v>1483384.0909090911</v>
      </c>
      <c r="D15" s="10">
        <v>0</v>
      </c>
      <c r="E15" s="10">
        <f>SUM(B15:D15)</f>
        <v>1483384.0909090911</v>
      </c>
    </row>
    <row r="16" spans="1:16" x14ac:dyDescent="0.3">
      <c r="A16" s="7" t="s">
        <v>9</v>
      </c>
      <c r="B16" s="10">
        <v>0</v>
      </c>
      <c r="C16" s="10">
        <v>184756.74242424258</v>
      </c>
      <c r="D16" s="10">
        <v>700000</v>
      </c>
      <c r="E16" s="10">
        <f>SUM(B16:D16)</f>
        <v>884756.74242424255</v>
      </c>
      <c r="K16" s="25" t="s">
        <v>74</v>
      </c>
      <c r="L16" s="5"/>
      <c r="M16" s="5"/>
      <c r="N16" s="5"/>
      <c r="O16" s="5"/>
    </row>
    <row r="17" spans="1:15" x14ac:dyDescent="0.3">
      <c r="A17" s="8" t="s">
        <v>15</v>
      </c>
      <c r="B17" s="11">
        <f>SUM(B14:B16)</f>
        <v>2500000</v>
      </c>
      <c r="C17" s="11">
        <f>SUM(C14:C16)</f>
        <v>1800000</v>
      </c>
      <c r="D17" s="11">
        <f>SUM(D14:D16)</f>
        <v>700000</v>
      </c>
      <c r="E17" s="11">
        <f>SUM(E14:E16)</f>
        <v>4999999.9999999991</v>
      </c>
      <c r="K17" s="18" t="s">
        <v>2</v>
      </c>
      <c r="L17" s="19" t="s">
        <v>11</v>
      </c>
      <c r="M17" s="19" t="s">
        <v>12</v>
      </c>
      <c r="N17" s="19" t="s">
        <v>13</v>
      </c>
      <c r="O17" s="19" t="s">
        <v>29</v>
      </c>
    </row>
    <row r="18" spans="1:15" x14ac:dyDescent="0.3">
      <c r="A18" s="5"/>
      <c r="B18" s="5"/>
      <c r="C18" s="5"/>
      <c r="D18" s="5"/>
      <c r="E18" s="5"/>
      <c r="K18" s="16" t="s">
        <v>7</v>
      </c>
      <c r="L18" s="21">
        <v>2500000</v>
      </c>
      <c r="M18" s="21">
        <v>131859</v>
      </c>
      <c r="N18" s="22">
        <v>0</v>
      </c>
      <c r="O18" s="21">
        <v>2631859</v>
      </c>
    </row>
    <row r="19" spans="1:15" x14ac:dyDescent="0.3">
      <c r="A19" s="5"/>
      <c r="B19" s="5"/>
      <c r="C19" s="5"/>
      <c r="D19" s="5"/>
      <c r="E19" s="5"/>
      <c r="K19" s="16" t="s">
        <v>8</v>
      </c>
      <c r="L19" s="22">
        <v>0</v>
      </c>
      <c r="M19" s="21">
        <v>1483384</v>
      </c>
      <c r="N19" s="21">
        <v>0</v>
      </c>
      <c r="O19" s="21">
        <v>1483384</v>
      </c>
    </row>
    <row r="20" spans="1:15" x14ac:dyDescent="0.3">
      <c r="A20" s="4" t="s">
        <v>16</v>
      </c>
      <c r="B20" s="5"/>
      <c r="C20" s="5"/>
      <c r="D20" s="5"/>
      <c r="E20" s="5"/>
      <c r="K20" s="16" t="s">
        <v>9</v>
      </c>
      <c r="L20" s="22">
        <v>0</v>
      </c>
      <c r="M20" s="21">
        <v>184757</v>
      </c>
      <c r="N20" s="21">
        <v>700000</v>
      </c>
      <c r="O20" s="21">
        <v>884757</v>
      </c>
    </row>
    <row r="21" spans="1:15" x14ac:dyDescent="0.3">
      <c r="A21" s="6" t="s">
        <v>2</v>
      </c>
      <c r="B21" s="6" t="s">
        <v>17</v>
      </c>
      <c r="C21" s="6" t="s">
        <v>18</v>
      </c>
      <c r="D21" s="6" t="s">
        <v>19</v>
      </c>
      <c r="E21" s="6" t="s">
        <v>20</v>
      </c>
      <c r="K21" s="16" t="s">
        <v>15</v>
      </c>
      <c r="L21" s="21">
        <v>2500000</v>
      </c>
      <c r="M21" s="21">
        <v>1800000</v>
      </c>
      <c r="N21" s="21">
        <v>700000</v>
      </c>
      <c r="O21" s="21">
        <v>5000000</v>
      </c>
    </row>
    <row r="22" spans="1:15" x14ac:dyDescent="0.3">
      <c r="A22" s="7" t="s">
        <v>7</v>
      </c>
      <c r="B22" s="10">
        <f t="shared" ref="B22:D24" si="0">B14*B7</f>
        <v>5000000</v>
      </c>
      <c r="C22" s="10">
        <f t="shared" si="0"/>
        <v>316461.99999999907</v>
      </c>
      <c r="D22" s="10">
        <f t="shared" si="0"/>
        <v>0</v>
      </c>
      <c r="E22" s="10">
        <f>SUM(B22:D22)</f>
        <v>5316461.9999999991</v>
      </c>
    </row>
    <row r="23" spans="1:15" x14ac:dyDescent="0.3">
      <c r="A23" s="7" t="s">
        <v>8</v>
      </c>
      <c r="B23" s="10">
        <f t="shared" si="0"/>
        <v>0</v>
      </c>
      <c r="C23" s="10">
        <f t="shared" si="0"/>
        <v>3263445.0000000005</v>
      </c>
      <c r="D23" s="10">
        <f t="shared" si="0"/>
        <v>0</v>
      </c>
      <c r="E23" s="10">
        <f>SUM(B23:D23)</f>
        <v>3263445.0000000005</v>
      </c>
      <c r="K23" s="25" t="s">
        <v>52</v>
      </c>
      <c r="L23" s="5"/>
      <c r="M23" s="5"/>
      <c r="N23" s="5"/>
      <c r="O23" s="5"/>
    </row>
    <row r="24" spans="1:15" x14ac:dyDescent="0.3">
      <c r="A24" s="7" t="s">
        <v>9</v>
      </c>
      <c r="B24" s="10">
        <f t="shared" si="0"/>
        <v>0</v>
      </c>
      <c r="C24" s="10">
        <f t="shared" si="0"/>
        <v>369513.48484848515</v>
      </c>
      <c r="D24" s="10">
        <f t="shared" si="0"/>
        <v>840000</v>
      </c>
      <c r="E24" s="10">
        <f>SUM(B24:D24)</f>
        <v>1209513.4848484851</v>
      </c>
      <c r="K24" s="18" t="s">
        <v>2</v>
      </c>
      <c r="L24" s="19" t="s">
        <v>17</v>
      </c>
      <c r="M24" s="19" t="s">
        <v>18</v>
      </c>
      <c r="N24" s="19" t="s">
        <v>19</v>
      </c>
      <c r="O24" s="19" t="s">
        <v>20</v>
      </c>
    </row>
    <row r="25" spans="1:15" x14ac:dyDescent="0.3">
      <c r="A25" s="8" t="s">
        <v>21</v>
      </c>
      <c r="B25" s="11">
        <f>SUM(B22:B24)</f>
        <v>5000000</v>
      </c>
      <c r="C25" s="11">
        <f>SUM(C22:C24)</f>
        <v>3949420.4848484849</v>
      </c>
      <c r="D25" s="11">
        <f>SUM(D22:D24)</f>
        <v>840000</v>
      </c>
      <c r="E25" s="11">
        <f>SUM(E22:E24)</f>
        <v>9789420.4848484844</v>
      </c>
      <c r="K25" s="16" t="s">
        <v>7</v>
      </c>
      <c r="L25" s="21">
        <v>5000000</v>
      </c>
      <c r="M25" s="21">
        <v>316462</v>
      </c>
      <c r="N25" s="22">
        <v>0</v>
      </c>
      <c r="O25" s="21">
        <v>5316462</v>
      </c>
    </row>
    <row r="26" spans="1:15" x14ac:dyDescent="0.3">
      <c r="A26" s="5"/>
      <c r="B26" s="5"/>
      <c r="C26" s="5"/>
      <c r="D26" s="5"/>
      <c r="E26" s="5"/>
      <c r="K26" s="16" t="s">
        <v>8</v>
      </c>
      <c r="L26" s="22">
        <v>0</v>
      </c>
      <c r="M26" s="21">
        <v>3263445</v>
      </c>
      <c r="N26" s="21">
        <v>0</v>
      </c>
      <c r="O26" s="21">
        <v>3263445</v>
      </c>
    </row>
    <row r="27" spans="1:15" x14ac:dyDescent="0.3">
      <c r="A27" s="5"/>
      <c r="B27" s="5"/>
      <c r="C27" s="5"/>
      <c r="D27" s="29" t="s">
        <v>73</v>
      </c>
      <c r="E27" s="27">
        <f>E10-E25</f>
        <v>55901.515151515603</v>
      </c>
      <c r="K27" s="16" t="s">
        <v>9</v>
      </c>
      <c r="L27" s="22">
        <v>0</v>
      </c>
      <c r="M27" s="21">
        <v>369513</v>
      </c>
      <c r="N27" s="21">
        <v>840000</v>
      </c>
      <c r="O27" s="21">
        <v>1209513</v>
      </c>
    </row>
    <row r="28" spans="1:15" x14ac:dyDescent="0.3">
      <c r="A28" s="4" t="s">
        <v>22</v>
      </c>
      <c r="B28" s="5"/>
      <c r="C28" s="5"/>
      <c r="D28" s="5"/>
      <c r="E28" s="5"/>
      <c r="K28" s="16" t="s">
        <v>15</v>
      </c>
      <c r="L28" s="21">
        <v>5000000</v>
      </c>
      <c r="M28" s="21">
        <v>3949420</v>
      </c>
      <c r="N28" s="21">
        <v>840000</v>
      </c>
      <c r="O28" s="21">
        <v>9789420</v>
      </c>
    </row>
    <row r="29" spans="1:15" x14ac:dyDescent="0.3">
      <c r="A29" s="6" t="s">
        <v>23</v>
      </c>
      <c r="B29" s="6" t="s">
        <v>24</v>
      </c>
      <c r="C29" s="6" t="s">
        <v>25</v>
      </c>
      <c r="D29" s="5"/>
      <c r="E29" s="5"/>
    </row>
    <row r="30" spans="1:15" x14ac:dyDescent="0.3">
      <c r="A30" s="7" t="s">
        <v>26</v>
      </c>
      <c r="B30" s="10">
        <f>B17</f>
        <v>2500000</v>
      </c>
      <c r="C30" s="10">
        <v>2500000</v>
      </c>
      <c r="D30" s="5"/>
      <c r="E30" s="5"/>
      <c r="K30" s="26" t="s">
        <v>35</v>
      </c>
    </row>
    <row r="31" spans="1:15" x14ac:dyDescent="0.3">
      <c r="A31" s="7" t="s">
        <v>27</v>
      </c>
      <c r="B31" s="10">
        <f>C17</f>
        <v>1800000</v>
      </c>
      <c r="C31" s="10">
        <v>1800000</v>
      </c>
      <c r="D31" s="5"/>
      <c r="E31" s="5"/>
      <c r="K31" s="17" t="s">
        <v>23</v>
      </c>
      <c r="L31" s="17" t="s">
        <v>53</v>
      </c>
    </row>
    <row r="32" spans="1:15" x14ac:dyDescent="0.3">
      <c r="A32" s="7" t="s">
        <v>28</v>
      </c>
      <c r="B32" s="10">
        <f>D17</f>
        <v>700000</v>
      </c>
      <c r="C32" s="10">
        <v>700000</v>
      </c>
      <c r="D32" s="5"/>
      <c r="E32" s="5"/>
      <c r="K32" s="20" t="s">
        <v>54</v>
      </c>
      <c r="L32" s="20" t="s">
        <v>55</v>
      </c>
    </row>
    <row r="33" spans="1:12" x14ac:dyDescent="0.3">
      <c r="A33" s="7" t="s">
        <v>29</v>
      </c>
      <c r="B33" s="10">
        <f>E17</f>
        <v>4999999.9999999991</v>
      </c>
      <c r="C33" s="10">
        <f>SUM(C30:C32)</f>
        <v>5000000</v>
      </c>
      <c r="D33" s="5"/>
      <c r="E33" s="5"/>
      <c r="K33" s="20" t="s">
        <v>56</v>
      </c>
      <c r="L33" s="20" t="s">
        <v>55</v>
      </c>
    </row>
    <row r="34" spans="1:12" x14ac:dyDescent="0.3">
      <c r="A34" s="7" t="s">
        <v>30</v>
      </c>
      <c r="B34" s="10">
        <f>E22</f>
        <v>5316461.9999999991</v>
      </c>
      <c r="C34" s="10">
        <v>5316462</v>
      </c>
      <c r="D34" s="5"/>
      <c r="E34" s="5"/>
      <c r="K34" s="20" t="s">
        <v>57</v>
      </c>
      <c r="L34" s="20" t="s">
        <v>55</v>
      </c>
    </row>
    <row r="35" spans="1:12" x14ac:dyDescent="0.3">
      <c r="A35" s="7" t="s">
        <v>31</v>
      </c>
      <c r="B35" s="31">
        <f>E23</f>
        <v>3263445.0000000005</v>
      </c>
      <c r="C35" s="10">
        <v>3263445</v>
      </c>
      <c r="D35" s="5"/>
      <c r="E35" s="5"/>
      <c r="K35" s="20" t="s">
        <v>29</v>
      </c>
      <c r="L35" s="20" t="s">
        <v>55</v>
      </c>
    </row>
    <row r="36" spans="1:12" x14ac:dyDescent="0.3">
      <c r="A36" s="7" t="s">
        <v>32</v>
      </c>
      <c r="B36" s="30">
        <f>E24</f>
        <v>1209513.4848484851</v>
      </c>
      <c r="C36" s="10">
        <v>1265415</v>
      </c>
      <c r="D36" s="5"/>
      <c r="E36" s="5"/>
      <c r="K36" s="20" t="s">
        <v>58</v>
      </c>
      <c r="L36" s="20" t="s">
        <v>59</v>
      </c>
    </row>
    <row r="37" spans="1:12" x14ac:dyDescent="0.3">
      <c r="A37" s="5"/>
      <c r="B37" s="5"/>
      <c r="C37" s="5"/>
      <c r="D37" s="5"/>
      <c r="E37" s="5"/>
      <c r="K37" s="2" t="s">
        <v>83</v>
      </c>
      <c r="L37" s="2" t="s">
        <v>59</v>
      </c>
    </row>
    <row r="39" spans="1:12" x14ac:dyDescent="0.3">
      <c r="A39" s="13"/>
      <c r="B39" s="13"/>
      <c r="K39" s="25" t="s">
        <v>86</v>
      </c>
    </row>
    <row r="40" spans="1:12" x14ac:dyDescent="0.3">
      <c r="A40" s="14"/>
      <c r="B40" s="12"/>
      <c r="K40" s="25" t="s">
        <v>23</v>
      </c>
      <c r="L40" s="25" t="s">
        <v>53</v>
      </c>
    </row>
    <row r="41" spans="1:12" x14ac:dyDescent="0.3">
      <c r="A41" s="14"/>
      <c r="B41" s="12"/>
      <c r="K41" s="5" t="s">
        <v>84</v>
      </c>
      <c r="L41" s="5" t="s">
        <v>85</v>
      </c>
    </row>
    <row r="42" spans="1:12" x14ac:dyDescent="0.3">
      <c r="A42" s="14"/>
      <c r="B42" s="12"/>
    </row>
    <row r="43" spans="1:12" x14ac:dyDescent="0.3">
      <c r="A43" s="14"/>
      <c r="B43" s="12"/>
      <c r="K43" s="26" t="s">
        <v>60</v>
      </c>
    </row>
    <row r="44" spans="1:12" x14ac:dyDescent="0.3">
      <c r="A44" s="14"/>
      <c r="B44" s="12"/>
      <c r="K44" s="5" t="s">
        <v>61</v>
      </c>
    </row>
    <row r="45" spans="1:12" x14ac:dyDescent="0.3">
      <c r="A45" s="14"/>
      <c r="B45" s="12"/>
      <c r="K45" s="5" t="s">
        <v>62</v>
      </c>
    </row>
    <row r="46" spans="1:12" x14ac:dyDescent="0.3">
      <c r="A46" s="14"/>
      <c r="B46" s="12"/>
      <c r="K46" s="5" t="s">
        <v>63</v>
      </c>
    </row>
    <row r="47" spans="1:12" x14ac:dyDescent="0.3">
      <c r="A47" s="14"/>
      <c r="B47" s="12"/>
      <c r="K47" s="5" t="s">
        <v>64</v>
      </c>
    </row>
    <row r="48" spans="1:12" x14ac:dyDescent="0.3">
      <c r="A48" s="14"/>
      <c r="B48" s="12"/>
      <c r="K48" s="5" t="s">
        <v>63</v>
      </c>
    </row>
    <row r="49" spans="1:12" x14ac:dyDescent="0.3">
      <c r="A49" s="14"/>
      <c r="B49" s="12"/>
      <c r="K49" s="5" t="s">
        <v>65</v>
      </c>
    </row>
    <row r="50" spans="1:12" x14ac:dyDescent="0.3">
      <c r="K50" s="5" t="s">
        <v>63</v>
      </c>
    </row>
    <row r="51" spans="1:12" x14ac:dyDescent="0.3">
      <c r="K51" s="5" t="s">
        <v>66</v>
      </c>
    </row>
    <row r="52" spans="1:12" x14ac:dyDescent="0.3">
      <c r="K52" s="5" t="s">
        <v>63</v>
      </c>
    </row>
    <row r="53" spans="1:12" x14ac:dyDescent="0.3">
      <c r="K53" s="5" t="s">
        <v>67</v>
      </c>
    </row>
    <row r="54" spans="1:12" x14ac:dyDescent="0.3">
      <c r="K54" s="5" t="s">
        <v>63</v>
      </c>
    </row>
    <row r="55" spans="1:12" x14ac:dyDescent="0.3">
      <c r="K55" s="5" t="s">
        <v>68</v>
      </c>
    </row>
    <row r="56" spans="1:12" x14ac:dyDescent="0.3">
      <c r="K56" s="5" t="s">
        <v>63</v>
      </c>
    </row>
    <row r="57" spans="1:12" x14ac:dyDescent="0.3">
      <c r="K57" s="5" t="s">
        <v>69</v>
      </c>
    </row>
    <row r="58" spans="1:12" x14ac:dyDescent="0.3">
      <c r="K58" s="5" t="s">
        <v>63</v>
      </c>
      <c r="L58"/>
    </row>
    <row r="59" spans="1:12" x14ac:dyDescent="0.3">
      <c r="K59" s="5" t="s">
        <v>70</v>
      </c>
      <c r="L59"/>
    </row>
    <row r="60" spans="1:12" x14ac:dyDescent="0.3">
      <c r="K60" s="5" t="s">
        <v>63</v>
      </c>
      <c r="L60"/>
    </row>
    <row r="61" spans="1:12" x14ac:dyDescent="0.3">
      <c r="K61" s="5" t="s">
        <v>71</v>
      </c>
      <c r="L61"/>
    </row>
    <row r="62" spans="1:12" x14ac:dyDescent="0.3">
      <c r="K62"/>
      <c r="L62"/>
    </row>
    <row r="63" spans="1:12" x14ac:dyDescent="0.3">
      <c r="K63"/>
      <c r="L63"/>
    </row>
    <row r="64" spans="1:12" x14ac:dyDescent="0.3">
      <c r="K64"/>
      <c r="L64"/>
    </row>
    <row r="65" spans="11:12" x14ac:dyDescent="0.3">
      <c r="K65"/>
      <c r="L65"/>
    </row>
    <row r="66" spans="11:12" x14ac:dyDescent="0.3">
      <c r="K66"/>
      <c r="L66"/>
    </row>
    <row r="67" spans="11:12" x14ac:dyDescent="0.3">
      <c r="K67"/>
      <c r="L67"/>
    </row>
    <row r="68" spans="11:12" x14ac:dyDescent="0.3">
      <c r="K68"/>
      <c r="L68"/>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9D10-E5A8-4C19-A851-23A17684D452}">
  <sheetPr>
    <tabColor theme="6" tint="-0.249977111117893"/>
  </sheetPr>
  <dimension ref="A1:P95"/>
  <sheetViews>
    <sheetView topLeftCell="A9" zoomScale="80" zoomScaleNormal="80" workbookViewId="0">
      <selection activeCell="A13" sqref="A13"/>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161</v>
      </c>
      <c r="L4" s="24" t="s">
        <v>162</v>
      </c>
      <c r="M4" s="5"/>
    </row>
    <row r="5" spans="1:16" x14ac:dyDescent="0.3">
      <c r="A5" s="4" t="s">
        <v>1</v>
      </c>
      <c r="B5" s="5"/>
      <c r="C5" s="5"/>
      <c r="D5" s="5"/>
      <c r="E5" s="5"/>
      <c r="K5" s="18" t="s">
        <v>37</v>
      </c>
      <c r="L5" s="18" t="s">
        <v>38</v>
      </c>
      <c r="M5" s="5"/>
    </row>
    <row r="6" spans="1:16" x14ac:dyDescent="0.3">
      <c r="A6" s="6" t="s">
        <v>2</v>
      </c>
      <c r="B6" s="6" t="s">
        <v>3</v>
      </c>
      <c r="C6" s="6" t="s">
        <v>4</v>
      </c>
      <c r="D6" s="6" t="s">
        <v>5</v>
      </c>
      <c r="E6" s="6" t="s">
        <v>6</v>
      </c>
      <c r="K6" s="16" t="s">
        <v>34</v>
      </c>
      <c r="L6" s="16" t="s">
        <v>163</v>
      </c>
      <c r="M6" s="5"/>
    </row>
    <row r="7" spans="1:16" x14ac:dyDescent="0.3">
      <c r="A7" s="7" t="s">
        <v>7</v>
      </c>
      <c r="B7" s="9">
        <v>2</v>
      </c>
      <c r="C7" s="9">
        <v>2.4</v>
      </c>
      <c r="D7" s="9">
        <v>1.4</v>
      </c>
      <c r="E7" s="10">
        <v>5316462</v>
      </c>
      <c r="K7" s="16" t="s">
        <v>39</v>
      </c>
      <c r="L7" s="16" t="s">
        <v>164</v>
      </c>
      <c r="M7" s="5"/>
    </row>
    <row r="8" spans="1:16" x14ac:dyDescent="0.3">
      <c r="A8" s="7" t="s">
        <v>8</v>
      </c>
      <c r="B8" s="9">
        <v>1.7</v>
      </c>
      <c r="C8" s="9">
        <v>2.2000000000000002</v>
      </c>
      <c r="D8" s="9">
        <v>1.3</v>
      </c>
      <c r="E8" s="10">
        <v>3263445</v>
      </c>
      <c r="K8" s="16" t="s">
        <v>91</v>
      </c>
      <c r="L8" s="16" t="s">
        <v>165</v>
      </c>
      <c r="M8" s="5"/>
    </row>
    <row r="9" spans="1:16" x14ac:dyDescent="0.3">
      <c r="A9" s="7" t="s">
        <v>9</v>
      </c>
      <c r="B9" s="9">
        <v>1.5</v>
      </c>
      <c r="C9" s="9">
        <v>2</v>
      </c>
      <c r="D9" s="9">
        <v>1.2</v>
      </c>
      <c r="E9" s="10">
        <v>1265415</v>
      </c>
      <c r="K9" s="16" t="s">
        <v>41</v>
      </c>
      <c r="L9" s="32" t="s">
        <v>166</v>
      </c>
      <c r="M9" s="5"/>
    </row>
    <row r="10" spans="1:16" x14ac:dyDescent="0.3">
      <c r="A10" s="7" t="s">
        <v>150</v>
      </c>
      <c r="B10" s="9">
        <v>1.6</v>
      </c>
      <c r="C10" s="9">
        <v>2.1</v>
      </c>
      <c r="D10" s="9">
        <v>1.2</v>
      </c>
      <c r="E10" s="10">
        <v>616374</v>
      </c>
      <c r="K10" s="16" t="s">
        <v>167</v>
      </c>
      <c r="L10" s="32">
        <v>11893944</v>
      </c>
      <c r="M10" s="5"/>
      <c r="N10" s="5"/>
      <c r="O10" s="5"/>
      <c r="P10" s="5"/>
    </row>
    <row r="11" spans="1:16" x14ac:dyDescent="0.3">
      <c r="A11" s="7" t="s">
        <v>151</v>
      </c>
      <c r="B11" s="9">
        <v>1.8</v>
      </c>
      <c r="C11" s="9">
        <v>2</v>
      </c>
      <c r="D11" s="9">
        <v>1.3</v>
      </c>
      <c r="E11" s="10">
        <v>1001120</v>
      </c>
      <c r="K11" s="16" t="s">
        <v>168</v>
      </c>
      <c r="L11" s="32">
        <v>7000000</v>
      </c>
      <c r="M11" s="5"/>
    </row>
    <row r="12" spans="1:16" x14ac:dyDescent="0.3">
      <c r="A12" s="7" t="s">
        <v>152</v>
      </c>
      <c r="B12" s="9">
        <v>1.6</v>
      </c>
      <c r="C12" s="9">
        <v>2.1</v>
      </c>
      <c r="D12" s="9">
        <v>1.2</v>
      </c>
      <c r="E12" s="10">
        <v>431128</v>
      </c>
      <c r="K12" s="16" t="s">
        <v>142</v>
      </c>
      <c r="L12" s="32">
        <v>3500000</v>
      </c>
      <c r="M12" s="5"/>
    </row>
    <row r="13" spans="1:16" x14ac:dyDescent="0.3">
      <c r="A13" s="5"/>
      <c r="B13" s="5"/>
      <c r="C13" s="5"/>
      <c r="D13" s="29" t="s">
        <v>72</v>
      </c>
      <c r="E13" s="27">
        <f>SUM(E7:E12)</f>
        <v>11893944</v>
      </c>
      <c r="K13" s="16" t="s">
        <v>169</v>
      </c>
      <c r="L13" s="32">
        <v>2500000</v>
      </c>
      <c r="M13" s="5"/>
    </row>
    <row r="14" spans="1:16" x14ac:dyDescent="0.3">
      <c r="A14" s="5"/>
      <c r="B14" s="5"/>
      <c r="C14" s="5"/>
      <c r="D14" s="29"/>
      <c r="E14" s="27"/>
      <c r="K14" s="41" t="s">
        <v>170</v>
      </c>
      <c r="L14" s="42">
        <v>1000000</v>
      </c>
      <c r="M14" s="15"/>
    </row>
    <row r="15" spans="1:16" x14ac:dyDescent="0.3">
      <c r="A15" s="5"/>
      <c r="B15" s="5"/>
      <c r="C15" s="5"/>
      <c r="D15" s="5"/>
      <c r="E15" s="5"/>
      <c r="K15" s="41" t="s">
        <v>45</v>
      </c>
      <c r="L15" s="42">
        <v>11893944</v>
      </c>
      <c r="M15" s="15"/>
    </row>
    <row r="16" spans="1:16" x14ac:dyDescent="0.3">
      <c r="A16" s="4" t="s">
        <v>10</v>
      </c>
      <c r="B16" s="5"/>
      <c r="C16" s="5"/>
      <c r="D16" s="5"/>
      <c r="E16" s="5"/>
      <c r="K16" s="41" t="s">
        <v>46</v>
      </c>
      <c r="L16" s="41">
        <v>0</v>
      </c>
      <c r="M16" s="15"/>
    </row>
    <row r="17" spans="1:15" x14ac:dyDescent="0.3">
      <c r="A17" s="6" t="s">
        <v>2</v>
      </c>
      <c r="B17" s="6" t="s">
        <v>11</v>
      </c>
      <c r="C17" s="6" t="s">
        <v>12</v>
      </c>
      <c r="D17" s="6" t="s">
        <v>13</v>
      </c>
      <c r="E17" s="6" t="s">
        <v>14</v>
      </c>
      <c r="K17" s="41" t="s">
        <v>171</v>
      </c>
      <c r="L17" s="42">
        <v>5992768</v>
      </c>
      <c r="M17" s="15"/>
    </row>
    <row r="18" spans="1:15" x14ac:dyDescent="0.3">
      <c r="A18" s="7" t="s">
        <v>7</v>
      </c>
      <c r="B18" s="10">
        <v>1438291.9090909092</v>
      </c>
      <c r="C18" s="10">
        <v>1016615.9090909092</v>
      </c>
      <c r="D18" s="10">
        <v>0</v>
      </c>
      <c r="E18" s="10">
        <f>SUM(B18:D18)</f>
        <v>2454907.8181818184</v>
      </c>
      <c r="K18" s="41" t="s">
        <v>172</v>
      </c>
      <c r="L18" s="42">
        <v>1007232</v>
      </c>
      <c r="M18" s="15"/>
    </row>
    <row r="19" spans="1:15" x14ac:dyDescent="0.3">
      <c r="A19" s="7" t="s">
        <v>8</v>
      </c>
      <c r="B19" s="10">
        <v>0</v>
      </c>
      <c r="C19" s="10">
        <v>1483384.0909090908</v>
      </c>
      <c r="D19" s="10">
        <v>0</v>
      </c>
      <c r="E19" s="10">
        <f>SUM(B19:D19)</f>
        <v>1483384.0909090908</v>
      </c>
      <c r="K19" s="41" t="s">
        <v>122</v>
      </c>
      <c r="L19" s="41" t="s">
        <v>173</v>
      </c>
      <c r="M19" s="15"/>
    </row>
    <row r="20" spans="1:15" x14ac:dyDescent="0.3">
      <c r="A20" s="7" t="s">
        <v>9</v>
      </c>
      <c r="B20" s="10">
        <v>843610</v>
      </c>
      <c r="C20" s="10">
        <v>0</v>
      </c>
      <c r="D20" s="10">
        <v>0</v>
      </c>
      <c r="E20" s="10">
        <f>SUM(B20:D20)</f>
        <v>843610</v>
      </c>
      <c r="K20" s="33" t="s">
        <v>47</v>
      </c>
      <c r="L20" s="33" t="s">
        <v>174</v>
      </c>
      <c r="M20" s="15"/>
    </row>
    <row r="21" spans="1:15" x14ac:dyDescent="0.3">
      <c r="A21" s="7" t="s">
        <v>150</v>
      </c>
      <c r="B21" s="10">
        <v>385233.75</v>
      </c>
      <c r="C21" s="10">
        <v>0</v>
      </c>
      <c r="D21" s="10">
        <v>0</v>
      </c>
      <c r="E21" s="10">
        <f t="shared" ref="E21:E23" si="0">SUM(B21:D21)</f>
        <v>385233.75</v>
      </c>
    </row>
    <row r="22" spans="1:15" x14ac:dyDescent="0.3">
      <c r="A22" s="7" t="s">
        <v>151</v>
      </c>
      <c r="B22" s="10">
        <v>556177.77777777775</v>
      </c>
      <c r="C22" s="10">
        <v>0</v>
      </c>
      <c r="D22" s="10">
        <v>0</v>
      </c>
      <c r="E22" s="10">
        <f t="shared" si="0"/>
        <v>556177.77777777775</v>
      </c>
    </row>
    <row r="23" spans="1:15" x14ac:dyDescent="0.3">
      <c r="A23" s="7" t="s">
        <v>152</v>
      </c>
      <c r="B23" s="10">
        <v>269455</v>
      </c>
      <c r="C23" s="10">
        <v>0</v>
      </c>
      <c r="D23" s="10">
        <v>0</v>
      </c>
      <c r="E23" s="10">
        <f t="shared" si="0"/>
        <v>269455</v>
      </c>
      <c r="K23" s="25" t="s">
        <v>74</v>
      </c>
      <c r="L23" s="5"/>
      <c r="M23" s="5"/>
      <c r="N23" s="5"/>
      <c r="O23" s="5"/>
    </row>
    <row r="24" spans="1:15" x14ac:dyDescent="0.3">
      <c r="A24" s="8" t="s">
        <v>15</v>
      </c>
      <c r="B24" s="11">
        <f>SUM(B18:B23)</f>
        <v>3492768.4368686872</v>
      </c>
      <c r="C24" s="11">
        <f>SUM(C18:C23)</f>
        <v>2500000</v>
      </c>
      <c r="D24" s="11">
        <f>SUM(D18:D23)</f>
        <v>0</v>
      </c>
      <c r="E24" s="11">
        <f>SUM(E18:E23)</f>
        <v>5992768.4368686872</v>
      </c>
      <c r="K24" s="18" t="s">
        <v>2</v>
      </c>
      <c r="L24" s="19" t="s">
        <v>11</v>
      </c>
      <c r="M24" s="19" t="s">
        <v>12</v>
      </c>
      <c r="N24" s="19" t="s">
        <v>13</v>
      </c>
      <c r="O24" s="19" t="s">
        <v>29</v>
      </c>
    </row>
    <row r="25" spans="1:15" x14ac:dyDescent="0.3">
      <c r="A25" s="5"/>
      <c r="B25" s="5"/>
      <c r="C25" s="5"/>
      <c r="D25" s="5"/>
      <c r="E25" s="5"/>
      <c r="K25" s="16" t="s">
        <v>7</v>
      </c>
      <c r="L25" s="21">
        <v>1438292</v>
      </c>
      <c r="M25" s="21">
        <v>1016616</v>
      </c>
      <c r="N25" s="22">
        <v>0</v>
      </c>
      <c r="O25" s="21">
        <v>2454908</v>
      </c>
    </row>
    <row r="26" spans="1:15" x14ac:dyDescent="0.3">
      <c r="A26" s="5"/>
      <c r="B26" s="5"/>
      <c r="C26" s="5"/>
      <c r="D26" s="5"/>
      <c r="E26" s="5"/>
      <c r="K26" s="16" t="s">
        <v>8</v>
      </c>
      <c r="L26" s="22">
        <v>0</v>
      </c>
      <c r="M26" s="21">
        <v>1483384</v>
      </c>
      <c r="N26" s="21">
        <v>0</v>
      </c>
      <c r="O26" s="21">
        <v>1483384</v>
      </c>
    </row>
    <row r="27" spans="1:15" x14ac:dyDescent="0.3">
      <c r="A27" s="4" t="s">
        <v>16</v>
      </c>
      <c r="B27" s="5"/>
      <c r="C27" s="5"/>
      <c r="D27" s="5"/>
      <c r="E27" s="5"/>
      <c r="K27" s="16" t="s">
        <v>9</v>
      </c>
      <c r="L27" s="21">
        <v>843610</v>
      </c>
      <c r="M27" s="21">
        <v>0</v>
      </c>
      <c r="N27" s="21">
        <v>0</v>
      </c>
      <c r="O27" s="21">
        <v>843610</v>
      </c>
    </row>
    <row r="28" spans="1:15" x14ac:dyDescent="0.3">
      <c r="A28" s="6" t="s">
        <v>2</v>
      </c>
      <c r="B28" s="6" t="s">
        <v>17</v>
      </c>
      <c r="C28" s="6" t="s">
        <v>18</v>
      </c>
      <c r="D28" s="6" t="s">
        <v>19</v>
      </c>
      <c r="E28" s="6" t="s">
        <v>20</v>
      </c>
      <c r="K28" s="16" t="s">
        <v>150</v>
      </c>
      <c r="L28" s="21">
        <v>385234</v>
      </c>
      <c r="M28" s="21">
        <v>0</v>
      </c>
      <c r="N28" s="21">
        <v>0</v>
      </c>
      <c r="O28" s="21">
        <v>385234</v>
      </c>
    </row>
    <row r="29" spans="1:15" x14ac:dyDescent="0.3">
      <c r="A29" s="7" t="s">
        <v>7</v>
      </c>
      <c r="B29" s="10">
        <f t="shared" ref="B29:D34" si="1">B18*B7</f>
        <v>2876583.8181818184</v>
      </c>
      <c r="C29" s="10">
        <f t="shared" si="1"/>
        <v>2439878.1818181821</v>
      </c>
      <c r="D29" s="10">
        <f t="shared" si="1"/>
        <v>0</v>
      </c>
      <c r="E29" s="10">
        <f>SUM(B29:D29)</f>
        <v>5316462</v>
      </c>
      <c r="K29" s="16" t="s">
        <v>151</v>
      </c>
      <c r="L29" s="21">
        <v>556178</v>
      </c>
      <c r="M29" s="21">
        <v>0</v>
      </c>
      <c r="N29" s="21">
        <v>0</v>
      </c>
      <c r="O29" s="21">
        <v>556178</v>
      </c>
    </row>
    <row r="30" spans="1:15" x14ac:dyDescent="0.3">
      <c r="A30" s="7" t="s">
        <v>8</v>
      </c>
      <c r="B30" s="10">
        <f t="shared" si="1"/>
        <v>0</v>
      </c>
      <c r="C30" s="10">
        <f t="shared" si="1"/>
        <v>3263445</v>
      </c>
      <c r="D30" s="10">
        <f t="shared" si="1"/>
        <v>0</v>
      </c>
      <c r="E30" s="10">
        <f>SUM(B30:D30)</f>
        <v>3263445</v>
      </c>
      <c r="K30" s="16" t="s">
        <v>152</v>
      </c>
      <c r="L30" s="21">
        <v>269455</v>
      </c>
      <c r="M30" s="21">
        <v>0</v>
      </c>
      <c r="N30" s="21">
        <v>0</v>
      </c>
      <c r="O30" s="21">
        <v>269455</v>
      </c>
    </row>
    <row r="31" spans="1:15" x14ac:dyDescent="0.3">
      <c r="A31" s="7" t="s">
        <v>9</v>
      </c>
      <c r="B31" s="10">
        <f t="shared" si="1"/>
        <v>1265415</v>
      </c>
      <c r="C31" s="10">
        <f t="shared" si="1"/>
        <v>0</v>
      </c>
      <c r="D31" s="10">
        <f t="shared" si="1"/>
        <v>0</v>
      </c>
      <c r="E31" s="10">
        <f>SUM(B31:D31)</f>
        <v>1265415</v>
      </c>
      <c r="K31" s="16" t="s">
        <v>15</v>
      </c>
      <c r="L31" s="21">
        <v>3492768</v>
      </c>
      <c r="M31" s="21">
        <v>2500000</v>
      </c>
      <c r="N31" s="21">
        <v>0</v>
      </c>
      <c r="O31" s="21">
        <v>5992768</v>
      </c>
    </row>
    <row r="32" spans="1:15" x14ac:dyDescent="0.3">
      <c r="A32" s="7" t="s">
        <v>150</v>
      </c>
      <c r="B32" s="10">
        <f t="shared" si="1"/>
        <v>616374</v>
      </c>
      <c r="C32" s="10">
        <f t="shared" si="1"/>
        <v>0</v>
      </c>
      <c r="D32" s="10">
        <f t="shared" si="1"/>
        <v>0</v>
      </c>
      <c r="E32" s="10">
        <f t="shared" ref="E32:E34" si="2">SUM(B32:D32)</f>
        <v>616374</v>
      </c>
    </row>
    <row r="33" spans="1:15" x14ac:dyDescent="0.3">
      <c r="A33" s="7" t="s">
        <v>151</v>
      </c>
      <c r="B33" s="10">
        <f t="shared" si="1"/>
        <v>1001120</v>
      </c>
      <c r="C33" s="10">
        <f t="shared" si="1"/>
        <v>0</v>
      </c>
      <c r="D33" s="10">
        <f t="shared" si="1"/>
        <v>0</v>
      </c>
      <c r="E33" s="10">
        <f t="shared" si="2"/>
        <v>1001120</v>
      </c>
      <c r="K33" s="25" t="s">
        <v>52</v>
      </c>
      <c r="L33" s="5"/>
      <c r="M33" s="5"/>
      <c r="N33" s="5"/>
      <c r="O33" s="5"/>
    </row>
    <row r="34" spans="1:15" x14ac:dyDescent="0.3">
      <c r="A34" s="7" t="s">
        <v>152</v>
      </c>
      <c r="B34" s="10">
        <f t="shared" si="1"/>
        <v>431128</v>
      </c>
      <c r="C34" s="10">
        <f t="shared" si="1"/>
        <v>0</v>
      </c>
      <c r="D34" s="10">
        <f t="shared" si="1"/>
        <v>0</v>
      </c>
      <c r="E34" s="10">
        <f t="shared" si="2"/>
        <v>431128</v>
      </c>
      <c r="K34" s="18" t="s">
        <v>2</v>
      </c>
      <c r="L34" s="19" t="s">
        <v>17</v>
      </c>
      <c r="M34" s="19" t="s">
        <v>18</v>
      </c>
      <c r="N34" s="19" t="s">
        <v>19</v>
      </c>
      <c r="O34" s="19" t="s">
        <v>20</v>
      </c>
    </row>
    <row r="35" spans="1:15" x14ac:dyDescent="0.3">
      <c r="A35" s="8" t="s">
        <v>21</v>
      </c>
      <c r="B35" s="11">
        <f>SUM(B29:B34)</f>
        <v>6190620.8181818184</v>
      </c>
      <c r="C35" s="11">
        <f>SUM(C29:C34)</f>
        <v>5703323.1818181816</v>
      </c>
      <c r="D35" s="11">
        <f>SUM(D29:D34)</f>
        <v>0</v>
      </c>
      <c r="E35" s="11">
        <f>SUM(E29:E34)</f>
        <v>11893944</v>
      </c>
      <c r="K35" s="16" t="s">
        <v>7</v>
      </c>
      <c r="L35" s="21">
        <v>2876584</v>
      </c>
      <c r="M35" s="21">
        <v>2439878</v>
      </c>
      <c r="N35" s="22">
        <v>0</v>
      </c>
      <c r="O35" s="21">
        <v>5316462</v>
      </c>
    </row>
    <row r="36" spans="1:15" x14ac:dyDescent="0.3">
      <c r="A36" s="5"/>
      <c r="B36" s="5"/>
      <c r="C36" s="5"/>
      <c r="D36" s="5"/>
      <c r="E36" s="5"/>
      <c r="K36" s="16" t="s">
        <v>8</v>
      </c>
      <c r="L36" s="22">
        <v>0</v>
      </c>
      <c r="M36" s="21">
        <v>3263445</v>
      </c>
      <c r="N36" s="21">
        <v>0</v>
      </c>
      <c r="O36" s="21">
        <v>3263445</v>
      </c>
    </row>
    <row r="37" spans="1:15" x14ac:dyDescent="0.3">
      <c r="A37" s="5"/>
      <c r="B37" s="5"/>
      <c r="C37" s="5"/>
      <c r="D37" s="29" t="s">
        <v>73</v>
      </c>
      <c r="E37" s="27">
        <f>E13-E35</f>
        <v>0</v>
      </c>
      <c r="K37" s="16" t="s">
        <v>9</v>
      </c>
      <c r="L37" s="21">
        <v>1265415</v>
      </c>
      <c r="M37" s="21">
        <v>0</v>
      </c>
      <c r="N37" s="21">
        <v>0</v>
      </c>
      <c r="O37" s="21">
        <v>1265415</v>
      </c>
    </row>
    <row r="38" spans="1:15" x14ac:dyDescent="0.3">
      <c r="A38" s="4" t="s">
        <v>22</v>
      </c>
      <c r="B38" s="5"/>
      <c r="C38" s="5"/>
      <c r="D38" s="5"/>
      <c r="E38" s="5"/>
      <c r="K38" s="16" t="s">
        <v>150</v>
      </c>
      <c r="L38" s="21">
        <v>616374</v>
      </c>
      <c r="M38" s="21">
        <v>0</v>
      </c>
      <c r="N38" s="21">
        <v>0</v>
      </c>
      <c r="O38" s="21">
        <v>616374</v>
      </c>
    </row>
    <row r="39" spans="1:15" x14ac:dyDescent="0.3">
      <c r="A39" s="6" t="s">
        <v>23</v>
      </c>
      <c r="B39" s="6" t="s">
        <v>24</v>
      </c>
      <c r="C39" s="6" t="s">
        <v>25</v>
      </c>
      <c r="D39" s="5"/>
      <c r="E39" s="5"/>
      <c r="K39" s="16" t="s">
        <v>151</v>
      </c>
      <c r="L39" s="21">
        <v>1001120</v>
      </c>
      <c r="M39" s="21">
        <v>0</v>
      </c>
      <c r="N39" s="21">
        <v>0</v>
      </c>
      <c r="O39" s="21">
        <v>1001120</v>
      </c>
    </row>
    <row r="40" spans="1:15" x14ac:dyDescent="0.3">
      <c r="A40" s="7" t="s">
        <v>26</v>
      </c>
      <c r="B40" s="28">
        <f>B24</f>
        <v>3492768.4368686872</v>
      </c>
      <c r="C40" s="39">
        <v>3500000</v>
      </c>
      <c r="D40" s="5"/>
      <c r="E40" s="5"/>
      <c r="K40" s="16" t="s">
        <v>152</v>
      </c>
      <c r="L40" s="21">
        <v>431128</v>
      </c>
      <c r="M40" s="21">
        <v>0</v>
      </c>
      <c r="N40" s="21">
        <v>0</v>
      </c>
      <c r="O40" s="21">
        <v>431128</v>
      </c>
    </row>
    <row r="41" spans="1:15" x14ac:dyDescent="0.3">
      <c r="A41" s="7" t="s">
        <v>27</v>
      </c>
      <c r="B41" s="10">
        <f>C24</f>
        <v>2500000</v>
      </c>
      <c r="C41" s="39">
        <v>2500000</v>
      </c>
      <c r="D41" s="5"/>
      <c r="E41" s="5"/>
      <c r="K41" s="16" t="s">
        <v>15</v>
      </c>
      <c r="L41" s="21">
        <v>6190621</v>
      </c>
      <c r="M41" s="21">
        <v>5703323</v>
      </c>
      <c r="N41" s="21">
        <v>0</v>
      </c>
      <c r="O41" s="21">
        <v>11893944</v>
      </c>
    </row>
    <row r="42" spans="1:15" x14ac:dyDescent="0.3">
      <c r="A42" s="7" t="s">
        <v>28</v>
      </c>
      <c r="B42" s="28">
        <f>D24</f>
        <v>0</v>
      </c>
      <c r="C42" s="39">
        <v>100000</v>
      </c>
      <c r="D42" s="5"/>
      <c r="E42" s="5"/>
    </row>
    <row r="43" spans="1:15" x14ac:dyDescent="0.3">
      <c r="A43" s="7" t="s">
        <v>29</v>
      </c>
      <c r="B43" s="10">
        <f>E24</f>
        <v>5992768.4368686872</v>
      </c>
      <c r="C43" s="10">
        <f>SUM(C40:C42)</f>
        <v>6100000</v>
      </c>
      <c r="D43" s="5"/>
      <c r="E43" s="5"/>
      <c r="K43" s="26" t="s">
        <v>35</v>
      </c>
    </row>
    <row r="44" spans="1:15" x14ac:dyDescent="0.3">
      <c r="A44" s="7" t="s">
        <v>30</v>
      </c>
      <c r="B44" s="10">
        <f t="shared" ref="B44:B49" si="3">E29</f>
        <v>5316462</v>
      </c>
      <c r="C44" s="10">
        <v>5316462</v>
      </c>
      <c r="D44" s="5"/>
      <c r="E44" s="5"/>
      <c r="K44" s="17" t="s">
        <v>23</v>
      </c>
      <c r="L44" s="17" t="s">
        <v>53</v>
      </c>
    </row>
    <row r="45" spans="1:15" x14ac:dyDescent="0.3">
      <c r="A45" s="7" t="s">
        <v>31</v>
      </c>
      <c r="B45" s="31">
        <f t="shared" si="3"/>
        <v>3263445</v>
      </c>
      <c r="C45" s="10">
        <v>3263445</v>
      </c>
      <c r="D45" s="5"/>
      <c r="E45" s="5"/>
      <c r="K45" s="20" t="s">
        <v>125</v>
      </c>
      <c r="L45" s="20" t="s">
        <v>55</v>
      </c>
    </row>
    <row r="46" spans="1:15" x14ac:dyDescent="0.3">
      <c r="A46" s="7" t="s">
        <v>32</v>
      </c>
      <c r="B46" s="10">
        <f t="shared" si="3"/>
        <v>1265415</v>
      </c>
      <c r="C46" s="10">
        <v>1265415</v>
      </c>
      <c r="D46" s="5"/>
      <c r="E46" s="5"/>
      <c r="K46" s="20" t="s">
        <v>58</v>
      </c>
      <c r="L46" s="20" t="s">
        <v>59</v>
      </c>
    </row>
    <row r="47" spans="1:15" x14ac:dyDescent="0.3">
      <c r="A47" s="7" t="s">
        <v>150</v>
      </c>
      <c r="B47" s="31">
        <f t="shared" si="3"/>
        <v>616374</v>
      </c>
      <c r="C47" s="10">
        <v>616374</v>
      </c>
      <c r="D47" s="5"/>
      <c r="E47" s="5"/>
      <c r="K47" s="20" t="s">
        <v>83</v>
      </c>
      <c r="L47" s="20" t="s">
        <v>59</v>
      </c>
    </row>
    <row r="48" spans="1:15" x14ac:dyDescent="0.3">
      <c r="A48" s="7" t="s">
        <v>151</v>
      </c>
      <c r="B48" s="31">
        <f t="shared" si="3"/>
        <v>1001120</v>
      </c>
      <c r="C48" s="10">
        <v>1001120</v>
      </c>
      <c r="K48" s="20" t="s">
        <v>84</v>
      </c>
      <c r="L48" s="20" t="s">
        <v>59</v>
      </c>
    </row>
    <row r="49" spans="1:12" x14ac:dyDescent="0.3">
      <c r="A49" s="7" t="s">
        <v>152</v>
      </c>
      <c r="B49" s="31">
        <f t="shared" si="3"/>
        <v>431128</v>
      </c>
      <c r="C49" s="10">
        <v>431128</v>
      </c>
      <c r="K49" s="20" t="s">
        <v>175</v>
      </c>
      <c r="L49" s="20" t="s">
        <v>59</v>
      </c>
    </row>
    <row r="50" spans="1:12" x14ac:dyDescent="0.3">
      <c r="A50" s="14"/>
      <c r="B50" s="12"/>
      <c r="K50" s="2" t="s">
        <v>176</v>
      </c>
      <c r="L50" s="2" t="s">
        <v>59</v>
      </c>
    </row>
    <row r="51" spans="1:12" x14ac:dyDescent="0.3">
      <c r="A51" s="14"/>
      <c r="B51" s="12"/>
      <c r="K51" s="2" t="s">
        <v>177</v>
      </c>
      <c r="L51" s="2" t="s">
        <v>59</v>
      </c>
    </row>
    <row r="52" spans="1:12" x14ac:dyDescent="0.3">
      <c r="A52" s="14"/>
      <c r="B52" s="12"/>
    </row>
    <row r="53" spans="1:12" x14ac:dyDescent="0.3">
      <c r="A53" s="14"/>
      <c r="B53" s="12"/>
      <c r="K53" s="25" t="s">
        <v>86</v>
      </c>
    </row>
    <row r="54" spans="1:12" x14ac:dyDescent="0.3">
      <c r="A54" s="14"/>
      <c r="B54" s="12"/>
      <c r="K54" s="25" t="s">
        <v>23</v>
      </c>
      <c r="L54" s="25" t="s">
        <v>53</v>
      </c>
    </row>
    <row r="55" spans="1:12" x14ac:dyDescent="0.3">
      <c r="A55" s="14"/>
      <c r="B55" s="12"/>
      <c r="K55" s="5" t="s">
        <v>178</v>
      </c>
      <c r="L55" s="5" t="s">
        <v>179</v>
      </c>
    </row>
    <row r="56" spans="1:12" x14ac:dyDescent="0.3">
      <c r="A56" s="14"/>
      <c r="B56" s="12"/>
      <c r="K56" s="2" t="s">
        <v>180</v>
      </c>
      <c r="L56" s="2" t="s">
        <v>181</v>
      </c>
    </row>
    <row r="57" spans="1:12" x14ac:dyDescent="0.3">
      <c r="A57" s="14"/>
      <c r="B57" s="12"/>
      <c r="K57" s="2" t="s">
        <v>29</v>
      </c>
      <c r="L57" s="2" t="s">
        <v>182</v>
      </c>
    </row>
    <row r="58" spans="1:12" x14ac:dyDescent="0.3">
      <c r="A58" s="14"/>
      <c r="B58" s="12"/>
    </row>
    <row r="59" spans="1:12" x14ac:dyDescent="0.3">
      <c r="A59" s="14"/>
      <c r="B59" s="12"/>
      <c r="K59" s="26" t="s">
        <v>60</v>
      </c>
    </row>
    <row r="60" spans="1:12" x14ac:dyDescent="0.3">
      <c r="K60" s="37" t="s">
        <v>61</v>
      </c>
    </row>
    <row r="61" spans="1:12" x14ac:dyDescent="0.3">
      <c r="K61" s="37" t="s">
        <v>62</v>
      </c>
    </row>
    <row r="62" spans="1:12" x14ac:dyDescent="0.3">
      <c r="K62" s="37" t="s">
        <v>63</v>
      </c>
    </row>
    <row r="63" spans="1:12" x14ac:dyDescent="0.3">
      <c r="K63" s="37" t="s">
        <v>64</v>
      </c>
    </row>
    <row r="64" spans="1:12" x14ac:dyDescent="0.3">
      <c r="K64" s="37" t="s">
        <v>63</v>
      </c>
    </row>
    <row r="65" spans="11:12" x14ac:dyDescent="0.3">
      <c r="K65" s="37" t="s">
        <v>66</v>
      </c>
    </row>
    <row r="66" spans="11:12" x14ac:dyDescent="0.3">
      <c r="K66" s="37" t="s">
        <v>63</v>
      </c>
    </row>
    <row r="67" spans="11:12" x14ac:dyDescent="0.3">
      <c r="K67" s="37" t="s">
        <v>67</v>
      </c>
    </row>
    <row r="68" spans="11:12" x14ac:dyDescent="0.3">
      <c r="K68" s="37" t="s">
        <v>63</v>
      </c>
    </row>
    <row r="69" spans="11:12" x14ac:dyDescent="0.3">
      <c r="K69" s="37" t="s">
        <v>69</v>
      </c>
    </row>
    <row r="70" spans="11:12" x14ac:dyDescent="0.3">
      <c r="K70" s="37" t="s">
        <v>63</v>
      </c>
    </row>
    <row r="71" spans="11:12" x14ac:dyDescent="0.3">
      <c r="K71" s="37" t="s">
        <v>70</v>
      </c>
    </row>
    <row r="72" spans="11:12" x14ac:dyDescent="0.3">
      <c r="K72" s="37" t="s">
        <v>63</v>
      </c>
    </row>
    <row r="73" spans="11:12" x14ac:dyDescent="0.3">
      <c r="K73" s="37" t="s">
        <v>183</v>
      </c>
    </row>
    <row r="74" spans="11:12" x14ac:dyDescent="0.3">
      <c r="K74" s="37" t="s">
        <v>63</v>
      </c>
      <c r="L74"/>
    </row>
    <row r="75" spans="11:12" x14ac:dyDescent="0.3">
      <c r="K75" s="37" t="s">
        <v>184</v>
      </c>
      <c r="L75"/>
    </row>
    <row r="76" spans="11:12" x14ac:dyDescent="0.3">
      <c r="K76" s="37" t="s">
        <v>63</v>
      </c>
      <c r="L76"/>
    </row>
    <row r="77" spans="11:12" x14ac:dyDescent="0.3">
      <c r="K77" s="37" t="s">
        <v>185</v>
      </c>
      <c r="L77"/>
    </row>
    <row r="78" spans="11:12" x14ac:dyDescent="0.3">
      <c r="K78" s="37" t="s">
        <v>63</v>
      </c>
      <c r="L78"/>
    </row>
    <row r="79" spans="11:12" x14ac:dyDescent="0.3">
      <c r="K79" s="37" t="s">
        <v>186</v>
      </c>
      <c r="L79"/>
    </row>
    <row r="80" spans="11:12" x14ac:dyDescent="0.3">
      <c r="K80" s="37" t="s">
        <v>63</v>
      </c>
      <c r="L80"/>
    </row>
    <row r="81" spans="11:12" x14ac:dyDescent="0.3">
      <c r="K81" s="37" t="s">
        <v>187</v>
      </c>
      <c r="L81"/>
    </row>
    <row r="82" spans="11:12" x14ac:dyDescent="0.3">
      <c r="K82" s="37" t="s">
        <v>63</v>
      </c>
      <c r="L82"/>
    </row>
    <row r="83" spans="11:12" x14ac:dyDescent="0.3">
      <c r="K83" s="37" t="s">
        <v>188</v>
      </c>
      <c r="L83"/>
    </row>
    <row r="84" spans="11:12" x14ac:dyDescent="0.3">
      <c r="K84" s="37" t="s">
        <v>63</v>
      </c>
      <c r="L84"/>
    </row>
    <row r="85" spans="11:12" x14ac:dyDescent="0.3">
      <c r="K85" s="37" t="s">
        <v>65</v>
      </c>
    </row>
    <row r="86" spans="11:12" x14ac:dyDescent="0.3">
      <c r="K86" s="37" t="s">
        <v>63</v>
      </c>
    </row>
    <row r="87" spans="11:12" x14ac:dyDescent="0.3">
      <c r="K87" s="37" t="s">
        <v>68</v>
      </c>
    </row>
    <row r="88" spans="11:12" x14ac:dyDescent="0.3">
      <c r="K88" s="37" t="s">
        <v>63</v>
      </c>
    </row>
    <row r="89" spans="11:12" x14ac:dyDescent="0.3">
      <c r="K89" s="37" t="s">
        <v>71</v>
      </c>
    </row>
    <row r="90" spans="11:12" x14ac:dyDescent="0.3">
      <c r="K90" s="37" t="s">
        <v>63</v>
      </c>
    </row>
    <row r="91" spans="11:12" x14ac:dyDescent="0.3">
      <c r="K91" s="37" t="s">
        <v>189</v>
      </c>
    </row>
    <row r="92" spans="11:12" x14ac:dyDescent="0.3">
      <c r="K92" s="37" t="s">
        <v>63</v>
      </c>
    </row>
    <row r="93" spans="11:12" x14ac:dyDescent="0.3">
      <c r="K93" s="37" t="s">
        <v>190</v>
      </c>
    </row>
    <row r="94" spans="11:12" x14ac:dyDescent="0.3">
      <c r="K94" s="37" t="s">
        <v>63</v>
      </c>
    </row>
    <row r="95" spans="11:12" x14ac:dyDescent="0.3">
      <c r="K95" s="37" t="s">
        <v>191</v>
      </c>
    </row>
  </sheetData>
  <scenarios current="0">
    <scenario name="S2 1.5M -&gt; 2.5M" count="9" user="Anil Jacob" comment="Created by Anil Jacob on 5/15/2026">
      <inputCells r="B18" val="2500000" numFmtId="3"/>
      <inputCells r="C18" val="131859.166666666" numFmtId="3"/>
      <inputCells r="D18" val="0" numFmtId="3"/>
      <inputCells r="B19" val="0" numFmtId="3"/>
      <inputCells r="C19" val="1483384.09090909" numFmtId="3"/>
      <inputCells r="D19" val="0" numFmtId="3"/>
      <inputCells r="B20" val="0" numFmtId="3"/>
      <inputCells r="C20" val="184756.742424243" numFmtId="3"/>
      <inputCells r="D20" val="700000" numFmtId="3"/>
    </scenario>
  </scenario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E0C4-0325-4B54-BCFB-257C2F06BBBF}">
  <sheetPr>
    <tabColor theme="6" tint="-0.249977111117893"/>
  </sheetPr>
  <dimension ref="A1:P95"/>
  <sheetViews>
    <sheetView tabSelected="1" topLeftCell="B3" zoomScale="80" zoomScaleNormal="80" workbookViewId="0">
      <selection activeCell="N15" sqref="N15"/>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161</v>
      </c>
      <c r="L4" s="24" t="s">
        <v>162</v>
      </c>
      <c r="M4" s="5"/>
    </row>
    <row r="5" spans="1:16" x14ac:dyDescent="0.3">
      <c r="A5" s="4" t="s">
        <v>1</v>
      </c>
      <c r="B5" s="5"/>
      <c r="C5" s="5"/>
      <c r="D5" s="5"/>
      <c r="E5" s="5"/>
      <c r="K5" s="18" t="s">
        <v>37</v>
      </c>
      <c r="L5" s="18" t="s">
        <v>38</v>
      </c>
      <c r="M5" s="5"/>
    </row>
    <row r="6" spans="1:16" x14ac:dyDescent="0.3">
      <c r="A6" s="6" t="s">
        <v>2</v>
      </c>
      <c r="B6" s="6" t="s">
        <v>3</v>
      </c>
      <c r="C6" s="6" t="s">
        <v>4</v>
      </c>
      <c r="D6" s="6" t="s">
        <v>5</v>
      </c>
      <c r="E6" s="6" t="s">
        <v>6</v>
      </c>
      <c r="K6" s="16" t="s">
        <v>34</v>
      </c>
      <c r="L6" s="16" t="s">
        <v>163</v>
      </c>
      <c r="M6" s="5"/>
    </row>
    <row r="7" spans="1:16" x14ac:dyDescent="0.3">
      <c r="A7" s="7" t="s">
        <v>7</v>
      </c>
      <c r="B7" s="9">
        <v>2</v>
      </c>
      <c r="C7" s="9">
        <v>2.4</v>
      </c>
      <c r="D7" s="9">
        <v>1.4</v>
      </c>
      <c r="E7" s="10">
        <v>5316462</v>
      </c>
      <c r="K7" s="16" t="s">
        <v>39</v>
      </c>
      <c r="L7" s="16" t="s">
        <v>164</v>
      </c>
      <c r="M7" s="5"/>
    </row>
    <row r="8" spans="1:16" x14ac:dyDescent="0.3">
      <c r="A8" s="7" t="s">
        <v>8</v>
      </c>
      <c r="B8" s="9">
        <v>1.7</v>
      </c>
      <c r="C8" s="9">
        <v>2.2000000000000002</v>
      </c>
      <c r="D8" s="9">
        <v>1.3</v>
      </c>
      <c r="E8" s="10">
        <v>3263445</v>
      </c>
      <c r="K8" s="16" t="s">
        <v>91</v>
      </c>
      <c r="L8" s="16" t="s">
        <v>165</v>
      </c>
      <c r="M8" s="5"/>
    </row>
    <row r="9" spans="1:16" x14ac:dyDescent="0.3">
      <c r="A9" s="7" t="s">
        <v>9</v>
      </c>
      <c r="B9" s="9">
        <v>1.5</v>
      </c>
      <c r="C9" s="9">
        <v>2</v>
      </c>
      <c r="D9" s="9">
        <v>1.2</v>
      </c>
      <c r="E9" s="10">
        <v>1265415</v>
      </c>
      <c r="K9" s="16" t="s">
        <v>41</v>
      </c>
      <c r="L9" s="32" t="s">
        <v>166</v>
      </c>
      <c r="M9" s="5"/>
    </row>
    <row r="10" spans="1:16" x14ac:dyDescent="0.3">
      <c r="A10" s="7" t="s">
        <v>150</v>
      </c>
      <c r="B10" s="9">
        <v>1.6</v>
      </c>
      <c r="C10" s="9">
        <v>2.1</v>
      </c>
      <c r="D10" s="9">
        <v>1.2</v>
      </c>
      <c r="E10" s="10">
        <v>616374</v>
      </c>
      <c r="K10" s="16" t="s">
        <v>167</v>
      </c>
      <c r="L10" s="32">
        <v>11893944</v>
      </c>
      <c r="M10" s="5"/>
      <c r="N10" s="5"/>
      <c r="O10" s="5"/>
      <c r="P10" s="5"/>
    </row>
    <row r="11" spans="1:16" x14ac:dyDescent="0.3">
      <c r="A11" s="7" t="s">
        <v>151</v>
      </c>
      <c r="B11" s="9">
        <v>1.8</v>
      </c>
      <c r="C11" s="9">
        <v>2</v>
      </c>
      <c r="D11" s="9">
        <v>1.3</v>
      </c>
      <c r="E11" s="10">
        <v>1001120</v>
      </c>
      <c r="K11" s="16" t="s">
        <v>168</v>
      </c>
      <c r="L11" s="32">
        <v>7000000</v>
      </c>
      <c r="M11" s="5"/>
    </row>
    <row r="12" spans="1:16" x14ac:dyDescent="0.3">
      <c r="A12" s="7" t="s">
        <v>152</v>
      </c>
      <c r="B12" s="9">
        <v>1.6</v>
      </c>
      <c r="C12" s="9">
        <v>2.1</v>
      </c>
      <c r="D12" s="9">
        <v>1.2</v>
      </c>
      <c r="E12" s="10">
        <v>431128</v>
      </c>
      <c r="K12" s="16" t="s">
        <v>142</v>
      </c>
      <c r="L12" s="32">
        <v>3500000</v>
      </c>
      <c r="M12" s="5"/>
    </row>
    <row r="13" spans="1:16" x14ac:dyDescent="0.3">
      <c r="A13" s="5"/>
      <c r="B13" s="5"/>
      <c r="C13" s="5"/>
      <c r="D13" s="29" t="s">
        <v>72</v>
      </c>
      <c r="E13" s="27">
        <f>SUM(E7:E12)</f>
        <v>11893944</v>
      </c>
      <c r="K13" s="16" t="s">
        <v>169</v>
      </c>
      <c r="L13" s="32">
        <v>2500000</v>
      </c>
      <c r="M13" s="5"/>
    </row>
    <row r="14" spans="1:16" x14ac:dyDescent="0.3">
      <c r="A14" s="5"/>
      <c r="B14" s="5"/>
      <c r="C14" s="5"/>
      <c r="D14" s="29"/>
      <c r="E14" s="27"/>
      <c r="K14" s="41" t="s">
        <v>170</v>
      </c>
      <c r="L14" s="42">
        <v>1000000</v>
      </c>
      <c r="M14" s="15"/>
    </row>
    <row r="15" spans="1:16" x14ac:dyDescent="0.3">
      <c r="A15" s="5"/>
      <c r="B15" s="5"/>
      <c r="C15" s="5"/>
      <c r="D15" s="5"/>
      <c r="E15" s="5"/>
      <c r="K15" s="41" t="s">
        <v>45</v>
      </c>
      <c r="L15" s="42">
        <v>11893944</v>
      </c>
      <c r="M15" s="15"/>
    </row>
    <row r="16" spans="1:16" x14ac:dyDescent="0.3">
      <c r="A16" s="4" t="s">
        <v>10</v>
      </c>
      <c r="B16" s="5"/>
      <c r="C16" s="5"/>
      <c r="D16" s="5"/>
      <c r="E16" s="5"/>
      <c r="K16" s="41" t="s">
        <v>46</v>
      </c>
      <c r="L16" s="41">
        <v>0</v>
      </c>
      <c r="M16" s="15"/>
    </row>
    <row r="17" spans="1:15" x14ac:dyDescent="0.3">
      <c r="A17" s="6" t="s">
        <v>2</v>
      </c>
      <c r="B17" s="6" t="s">
        <v>11</v>
      </c>
      <c r="C17" s="6" t="s">
        <v>12</v>
      </c>
      <c r="D17" s="6" t="s">
        <v>13</v>
      </c>
      <c r="E17" s="6" t="s">
        <v>14</v>
      </c>
      <c r="K17" s="41" t="s">
        <v>171</v>
      </c>
      <c r="L17" s="42">
        <v>5992768</v>
      </c>
      <c r="M17" s="15"/>
    </row>
    <row r="18" spans="1:15" x14ac:dyDescent="0.3">
      <c r="A18" s="7" t="s">
        <v>7</v>
      </c>
      <c r="B18" s="10">
        <v>1438291.9090909092</v>
      </c>
      <c r="C18" s="10">
        <v>1016615.9090909092</v>
      </c>
      <c r="D18" s="10">
        <v>0</v>
      </c>
      <c r="E18" s="10">
        <f>SUM(B18:D18)</f>
        <v>2454907.8181818184</v>
      </c>
      <c r="K18" s="41" t="s">
        <v>172</v>
      </c>
      <c r="L18" s="42">
        <v>1007232</v>
      </c>
      <c r="M18" s="15"/>
    </row>
    <row r="19" spans="1:15" x14ac:dyDescent="0.3">
      <c r="A19" s="7" t="s">
        <v>8</v>
      </c>
      <c r="B19" s="10">
        <v>0</v>
      </c>
      <c r="C19" s="10">
        <v>1483384.0909090908</v>
      </c>
      <c r="D19" s="10">
        <v>0</v>
      </c>
      <c r="E19" s="10">
        <f>SUM(B19:D19)</f>
        <v>1483384.0909090908</v>
      </c>
      <c r="K19" s="41" t="s">
        <v>122</v>
      </c>
      <c r="L19" s="41" t="s">
        <v>173</v>
      </c>
      <c r="M19" s="15"/>
    </row>
    <row r="20" spans="1:15" x14ac:dyDescent="0.3">
      <c r="A20" s="7" t="s">
        <v>9</v>
      </c>
      <c r="B20" s="10">
        <v>843610</v>
      </c>
      <c r="C20" s="10">
        <v>0</v>
      </c>
      <c r="D20" s="10">
        <v>0</v>
      </c>
      <c r="E20" s="10">
        <f>SUM(B20:D20)</f>
        <v>843610</v>
      </c>
      <c r="K20" s="33" t="s">
        <v>47</v>
      </c>
      <c r="L20" s="33" t="s">
        <v>174</v>
      </c>
      <c r="M20" s="15"/>
    </row>
    <row r="21" spans="1:15" x14ac:dyDescent="0.3">
      <c r="A21" s="7" t="s">
        <v>150</v>
      </c>
      <c r="B21" s="10">
        <v>385233.75</v>
      </c>
      <c r="C21" s="10">
        <v>0</v>
      </c>
      <c r="D21" s="10">
        <v>0</v>
      </c>
      <c r="E21" s="10">
        <f t="shared" ref="E21:E23" si="0">SUM(B21:D21)</f>
        <v>385233.75</v>
      </c>
    </row>
    <row r="22" spans="1:15" x14ac:dyDescent="0.3">
      <c r="A22" s="7" t="s">
        <v>151</v>
      </c>
      <c r="B22" s="10">
        <v>556177.77777777775</v>
      </c>
      <c r="C22" s="10">
        <v>0</v>
      </c>
      <c r="D22" s="10">
        <v>0</v>
      </c>
      <c r="E22" s="10">
        <f t="shared" si="0"/>
        <v>556177.77777777775</v>
      </c>
    </row>
    <row r="23" spans="1:15" x14ac:dyDescent="0.3">
      <c r="A23" s="7" t="s">
        <v>152</v>
      </c>
      <c r="B23" s="10">
        <v>269455</v>
      </c>
      <c r="C23" s="10">
        <v>0</v>
      </c>
      <c r="D23" s="10">
        <v>0</v>
      </c>
      <c r="E23" s="10">
        <f t="shared" si="0"/>
        <v>269455</v>
      </c>
      <c r="K23" s="25" t="s">
        <v>74</v>
      </c>
      <c r="L23" s="5"/>
      <c r="M23" s="5"/>
      <c r="N23" s="5"/>
      <c r="O23" s="5"/>
    </row>
    <row r="24" spans="1:15" x14ac:dyDescent="0.3">
      <c r="A24" s="8" t="s">
        <v>15</v>
      </c>
      <c r="B24" s="11">
        <f>SUM(B18:B23)</f>
        <v>3492768.4368686872</v>
      </c>
      <c r="C24" s="11">
        <f>SUM(C18:C23)</f>
        <v>2500000</v>
      </c>
      <c r="D24" s="11">
        <f>SUM(D18:D23)</f>
        <v>0</v>
      </c>
      <c r="E24" s="11">
        <f>SUM(E18:E23)</f>
        <v>5992768.4368686872</v>
      </c>
      <c r="K24" s="18" t="s">
        <v>2</v>
      </c>
      <c r="L24" s="19" t="s">
        <v>11</v>
      </c>
      <c r="M24" s="19" t="s">
        <v>12</v>
      </c>
      <c r="N24" s="19" t="s">
        <v>13</v>
      </c>
      <c r="O24" s="19" t="s">
        <v>29</v>
      </c>
    </row>
    <row r="25" spans="1:15" x14ac:dyDescent="0.3">
      <c r="A25" s="5"/>
      <c r="B25" s="5"/>
      <c r="C25" s="5"/>
      <c r="D25" s="5"/>
      <c r="E25" s="5"/>
      <c r="K25" s="16" t="s">
        <v>7</v>
      </c>
      <c r="L25" s="21">
        <v>1438292</v>
      </c>
      <c r="M25" s="21">
        <v>1016616</v>
      </c>
      <c r="N25" s="22">
        <v>0</v>
      </c>
      <c r="O25" s="21">
        <v>2454908</v>
      </c>
    </row>
    <row r="26" spans="1:15" x14ac:dyDescent="0.3">
      <c r="A26" s="5"/>
      <c r="B26" s="5"/>
      <c r="C26" s="5"/>
      <c r="D26" s="5"/>
      <c r="E26" s="5"/>
      <c r="K26" s="16" t="s">
        <v>8</v>
      </c>
      <c r="L26" s="22">
        <v>0</v>
      </c>
      <c r="M26" s="21">
        <v>1483384</v>
      </c>
      <c r="N26" s="21">
        <v>0</v>
      </c>
      <c r="O26" s="21">
        <v>1483384</v>
      </c>
    </row>
    <row r="27" spans="1:15" x14ac:dyDescent="0.3">
      <c r="A27" s="4" t="s">
        <v>16</v>
      </c>
      <c r="B27" s="5"/>
      <c r="C27" s="5"/>
      <c r="D27" s="5"/>
      <c r="E27" s="5"/>
      <c r="K27" s="16" t="s">
        <v>9</v>
      </c>
      <c r="L27" s="21">
        <v>843610</v>
      </c>
      <c r="M27" s="21">
        <v>0</v>
      </c>
      <c r="N27" s="21">
        <v>0</v>
      </c>
      <c r="O27" s="21">
        <v>843610</v>
      </c>
    </row>
    <row r="28" spans="1:15" x14ac:dyDescent="0.3">
      <c r="A28" s="6" t="s">
        <v>2</v>
      </c>
      <c r="B28" s="6" t="s">
        <v>17</v>
      </c>
      <c r="C28" s="6" t="s">
        <v>18</v>
      </c>
      <c r="D28" s="6" t="s">
        <v>19</v>
      </c>
      <c r="E28" s="6" t="s">
        <v>20</v>
      </c>
      <c r="K28" s="16" t="s">
        <v>150</v>
      </c>
      <c r="L28" s="21">
        <v>385234</v>
      </c>
      <c r="M28" s="21">
        <v>0</v>
      </c>
      <c r="N28" s="21">
        <v>0</v>
      </c>
      <c r="O28" s="21">
        <v>385234</v>
      </c>
    </row>
    <row r="29" spans="1:15" x14ac:dyDescent="0.3">
      <c r="A29" s="7" t="s">
        <v>7</v>
      </c>
      <c r="B29" s="10">
        <f t="shared" ref="B29:D34" si="1">B18*B7</f>
        <v>2876583.8181818184</v>
      </c>
      <c r="C29" s="10">
        <f t="shared" si="1"/>
        <v>2439878.1818181821</v>
      </c>
      <c r="D29" s="10">
        <f t="shared" si="1"/>
        <v>0</v>
      </c>
      <c r="E29" s="10">
        <f>SUM(B29:D29)</f>
        <v>5316462</v>
      </c>
      <c r="K29" s="16" t="s">
        <v>151</v>
      </c>
      <c r="L29" s="21">
        <v>556178</v>
      </c>
      <c r="M29" s="21">
        <v>0</v>
      </c>
      <c r="N29" s="21">
        <v>0</v>
      </c>
      <c r="O29" s="21">
        <v>556178</v>
      </c>
    </row>
    <row r="30" spans="1:15" x14ac:dyDescent="0.3">
      <c r="A30" s="7" t="s">
        <v>8</v>
      </c>
      <c r="B30" s="10">
        <f t="shared" si="1"/>
        <v>0</v>
      </c>
      <c r="C30" s="10">
        <f t="shared" si="1"/>
        <v>3263445</v>
      </c>
      <c r="D30" s="10">
        <f t="shared" si="1"/>
        <v>0</v>
      </c>
      <c r="E30" s="10">
        <f>SUM(B30:D30)</f>
        <v>3263445</v>
      </c>
      <c r="K30" s="16" t="s">
        <v>152</v>
      </c>
      <c r="L30" s="21">
        <v>269455</v>
      </c>
      <c r="M30" s="21">
        <v>0</v>
      </c>
      <c r="N30" s="21">
        <v>0</v>
      </c>
      <c r="O30" s="21">
        <v>269455</v>
      </c>
    </row>
    <row r="31" spans="1:15" x14ac:dyDescent="0.3">
      <c r="A31" s="7" t="s">
        <v>9</v>
      </c>
      <c r="B31" s="10">
        <f t="shared" si="1"/>
        <v>1265415</v>
      </c>
      <c r="C31" s="10">
        <f t="shared" si="1"/>
        <v>0</v>
      </c>
      <c r="D31" s="10">
        <f t="shared" si="1"/>
        <v>0</v>
      </c>
      <c r="E31" s="10">
        <f>SUM(B31:D31)</f>
        <v>1265415</v>
      </c>
      <c r="K31" s="16" t="s">
        <v>15</v>
      </c>
      <c r="L31" s="21">
        <v>3492768</v>
      </c>
      <c r="M31" s="21">
        <v>2500000</v>
      </c>
      <c r="N31" s="21">
        <v>0</v>
      </c>
      <c r="O31" s="21">
        <v>5992768</v>
      </c>
    </row>
    <row r="32" spans="1:15" x14ac:dyDescent="0.3">
      <c r="A32" s="7" t="s">
        <v>150</v>
      </c>
      <c r="B32" s="10">
        <f t="shared" si="1"/>
        <v>616374</v>
      </c>
      <c r="C32" s="10">
        <f t="shared" si="1"/>
        <v>0</v>
      </c>
      <c r="D32" s="10">
        <f t="shared" si="1"/>
        <v>0</v>
      </c>
      <c r="E32" s="10">
        <f t="shared" ref="E32:E34" si="2">SUM(B32:D32)</f>
        <v>616374</v>
      </c>
    </row>
    <row r="33" spans="1:15" x14ac:dyDescent="0.3">
      <c r="A33" s="7" t="s">
        <v>151</v>
      </c>
      <c r="B33" s="10">
        <f t="shared" si="1"/>
        <v>1001120</v>
      </c>
      <c r="C33" s="10">
        <f t="shared" si="1"/>
        <v>0</v>
      </c>
      <c r="D33" s="10">
        <f t="shared" si="1"/>
        <v>0</v>
      </c>
      <c r="E33" s="10">
        <f t="shared" si="2"/>
        <v>1001120</v>
      </c>
      <c r="K33" s="25" t="s">
        <v>52</v>
      </c>
      <c r="L33" s="5"/>
      <c r="M33" s="5"/>
      <c r="N33" s="5"/>
      <c r="O33" s="5"/>
    </row>
    <row r="34" spans="1:15" x14ac:dyDescent="0.3">
      <c r="A34" s="7" t="s">
        <v>152</v>
      </c>
      <c r="B34" s="10">
        <f t="shared" si="1"/>
        <v>431128</v>
      </c>
      <c r="C34" s="10">
        <f t="shared" si="1"/>
        <v>0</v>
      </c>
      <c r="D34" s="10">
        <f t="shared" si="1"/>
        <v>0</v>
      </c>
      <c r="E34" s="10">
        <f t="shared" si="2"/>
        <v>431128</v>
      </c>
      <c r="K34" s="18" t="s">
        <v>2</v>
      </c>
      <c r="L34" s="19" t="s">
        <v>17</v>
      </c>
      <c r="M34" s="19" t="s">
        <v>18</v>
      </c>
      <c r="N34" s="19" t="s">
        <v>19</v>
      </c>
      <c r="O34" s="19" t="s">
        <v>20</v>
      </c>
    </row>
    <row r="35" spans="1:15" x14ac:dyDescent="0.3">
      <c r="A35" s="8" t="s">
        <v>21</v>
      </c>
      <c r="B35" s="11">
        <f>SUM(B29:B34)</f>
        <v>6190620.8181818184</v>
      </c>
      <c r="C35" s="11">
        <f>SUM(C29:C34)</f>
        <v>5703323.1818181816</v>
      </c>
      <c r="D35" s="11">
        <f>SUM(D29:D34)</f>
        <v>0</v>
      </c>
      <c r="E35" s="11">
        <f>SUM(E29:E34)</f>
        <v>11893944</v>
      </c>
      <c r="K35" s="16" t="s">
        <v>7</v>
      </c>
      <c r="L35" s="21">
        <v>2876584</v>
      </c>
      <c r="M35" s="21">
        <v>2439878</v>
      </c>
      <c r="N35" s="22">
        <v>0</v>
      </c>
      <c r="O35" s="21">
        <v>5316462</v>
      </c>
    </row>
    <row r="36" spans="1:15" x14ac:dyDescent="0.3">
      <c r="A36" s="5"/>
      <c r="B36" s="5"/>
      <c r="C36" s="5"/>
      <c r="D36" s="5"/>
      <c r="E36" s="5"/>
      <c r="K36" s="16" t="s">
        <v>8</v>
      </c>
      <c r="L36" s="22">
        <v>0</v>
      </c>
      <c r="M36" s="21">
        <v>3263445</v>
      </c>
      <c r="N36" s="21">
        <v>0</v>
      </c>
      <c r="O36" s="21">
        <v>3263445</v>
      </c>
    </row>
    <row r="37" spans="1:15" x14ac:dyDescent="0.3">
      <c r="A37" s="5"/>
      <c r="B37" s="5"/>
      <c r="C37" s="5"/>
      <c r="D37" s="29" t="s">
        <v>73</v>
      </c>
      <c r="E37" s="27">
        <f>E13-E35</f>
        <v>0</v>
      </c>
      <c r="K37" s="16" t="s">
        <v>9</v>
      </c>
      <c r="L37" s="21">
        <v>1265415</v>
      </c>
      <c r="M37" s="21">
        <v>0</v>
      </c>
      <c r="N37" s="21">
        <v>0</v>
      </c>
      <c r="O37" s="21">
        <v>1265415</v>
      </c>
    </row>
    <row r="38" spans="1:15" x14ac:dyDescent="0.3">
      <c r="A38" s="4" t="s">
        <v>22</v>
      </c>
      <c r="B38" s="5"/>
      <c r="C38" s="5"/>
      <c r="D38" s="5"/>
      <c r="E38" s="5"/>
      <c r="K38" s="16" t="s">
        <v>150</v>
      </c>
      <c r="L38" s="21">
        <v>616374</v>
      </c>
      <c r="M38" s="21">
        <v>0</v>
      </c>
      <c r="N38" s="21">
        <v>0</v>
      </c>
      <c r="O38" s="21">
        <v>616374</v>
      </c>
    </row>
    <row r="39" spans="1:15" x14ac:dyDescent="0.3">
      <c r="A39" s="6" t="s">
        <v>23</v>
      </c>
      <c r="B39" s="6" t="s">
        <v>24</v>
      </c>
      <c r="C39" s="6" t="s">
        <v>25</v>
      </c>
      <c r="D39" s="5"/>
      <c r="E39" s="5"/>
      <c r="K39" s="16" t="s">
        <v>151</v>
      </c>
      <c r="L39" s="21">
        <v>1001120</v>
      </c>
      <c r="M39" s="21">
        <v>0</v>
      </c>
      <c r="N39" s="21">
        <v>0</v>
      </c>
      <c r="O39" s="21">
        <v>1001120</v>
      </c>
    </row>
    <row r="40" spans="1:15" x14ac:dyDescent="0.3">
      <c r="A40" s="7" t="s">
        <v>26</v>
      </c>
      <c r="B40" s="43">
        <f>B24</f>
        <v>3492768.4368686872</v>
      </c>
      <c r="C40" s="39">
        <v>3500000</v>
      </c>
      <c r="E40"/>
      <c r="K40" s="16" t="s">
        <v>152</v>
      </c>
      <c r="L40" s="21">
        <v>431128</v>
      </c>
      <c r="M40" s="21">
        <v>0</v>
      </c>
      <c r="N40" s="21">
        <v>0</v>
      </c>
      <c r="O40" s="21">
        <v>431128</v>
      </c>
    </row>
    <row r="41" spans="1:15" x14ac:dyDescent="0.3">
      <c r="A41" s="7" t="s">
        <v>27</v>
      </c>
      <c r="B41" s="43">
        <f>C24</f>
        <v>2500000</v>
      </c>
      <c r="C41" s="39">
        <v>2500000</v>
      </c>
      <c r="E41"/>
      <c r="K41" s="16" t="s">
        <v>15</v>
      </c>
      <c r="L41" s="21">
        <v>6190621</v>
      </c>
      <c r="M41" s="21">
        <v>5703323</v>
      </c>
      <c r="N41" s="21">
        <v>0</v>
      </c>
      <c r="O41" s="21">
        <v>11893944</v>
      </c>
    </row>
    <row r="42" spans="1:15" x14ac:dyDescent="0.3">
      <c r="A42" s="7" t="s">
        <v>28</v>
      </c>
      <c r="B42" s="43">
        <f>D24</f>
        <v>0</v>
      </c>
      <c r="C42" s="39">
        <v>1000000</v>
      </c>
      <c r="E42"/>
    </row>
    <row r="43" spans="1:15" x14ac:dyDescent="0.3">
      <c r="A43" s="7" t="s">
        <v>29</v>
      </c>
      <c r="B43" s="10">
        <f>E24</f>
        <v>5992768.4368686872</v>
      </c>
      <c r="C43" s="10">
        <f>SUM(C40:C42)</f>
        <v>7000000</v>
      </c>
      <c r="D43" s="5"/>
      <c r="E43" s="5"/>
      <c r="K43" s="26" t="s">
        <v>35</v>
      </c>
    </row>
    <row r="44" spans="1:15" x14ac:dyDescent="0.3">
      <c r="A44" s="7" t="s">
        <v>30</v>
      </c>
      <c r="B44" s="10">
        <f t="shared" ref="B44:B49" si="3">E29</f>
        <v>5316462</v>
      </c>
      <c r="C44" s="10">
        <v>5316462</v>
      </c>
      <c r="D44" s="5"/>
      <c r="E44" s="5"/>
      <c r="K44" s="17" t="s">
        <v>23</v>
      </c>
      <c r="L44" s="17" t="s">
        <v>53</v>
      </c>
    </row>
    <row r="45" spans="1:15" x14ac:dyDescent="0.3">
      <c r="A45" s="7" t="s">
        <v>31</v>
      </c>
      <c r="B45" s="31">
        <f t="shared" si="3"/>
        <v>3263445</v>
      </c>
      <c r="C45" s="10">
        <v>3263445</v>
      </c>
      <c r="D45" s="5"/>
      <c r="E45" s="5"/>
      <c r="K45" s="20" t="s">
        <v>125</v>
      </c>
      <c r="L45" s="20" t="s">
        <v>55</v>
      </c>
    </row>
    <row r="46" spans="1:15" x14ac:dyDescent="0.3">
      <c r="A46" s="7" t="s">
        <v>32</v>
      </c>
      <c r="B46" s="10">
        <f t="shared" si="3"/>
        <v>1265415</v>
      </c>
      <c r="C46" s="10">
        <v>1265415</v>
      </c>
      <c r="D46" s="5"/>
      <c r="E46" s="5"/>
      <c r="K46" s="20" t="s">
        <v>58</v>
      </c>
      <c r="L46" s="20" t="s">
        <v>59</v>
      </c>
    </row>
    <row r="47" spans="1:15" x14ac:dyDescent="0.3">
      <c r="A47" s="7" t="s">
        <v>150</v>
      </c>
      <c r="B47" s="31">
        <f t="shared" si="3"/>
        <v>616374</v>
      </c>
      <c r="C47" s="10">
        <v>616374</v>
      </c>
      <c r="D47" s="5"/>
      <c r="E47" s="5"/>
      <c r="K47" s="20" t="s">
        <v>83</v>
      </c>
      <c r="L47" s="20" t="s">
        <v>59</v>
      </c>
    </row>
    <row r="48" spans="1:15" x14ac:dyDescent="0.3">
      <c r="A48" s="7" t="s">
        <v>151</v>
      </c>
      <c r="B48" s="31">
        <f t="shared" si="3"/>
        <v>1001120</v>
      </c>
      <c r="C48" s="10">
        <v>1001120</v>
      </c>
      <c r="K48" s="20" t="s">
        <v>84</v>
      </c>
      <c r="L48" s="20" t="s">
        <v>59</v>
      </c>
    </row>
    <row r="49" spans="1:12" x14ac:dyDescent="0.3">
      <c r="A49" s="7" t="s">
        <v>152</v>
      </c>
      <c r="B49" s="31">
        <f t="shared" si="3"/>
        <v>431128</v>
      </c>
      <c r="C49" s="10">
        <v>431128</v>
      </c>
      <c r="K49" s="20" t="s">
        <v>175</v>
      </c>
      <c r="L49" s="20" t="s">
        <v>59</v>
      </c>
    </row>
    <row r="50" spans="1:12" x14ac:dyDescent="0.3">
      <c r="A50" s="14"/>
      <c r="B50" s="12"/>
      <c r="K50" s="2" t="s">
        <v>176</v>
      </c>
      <c r="L50" s="2" t="s">
        <v>59</v>
      </c>
    </row>
    <row r="51" spans="1:12" x14ac:dyDescent="0.3">
      <c r="A51" s="14"/>
      <c r="B51" s="12"/>
      <c r="K51" s="2" t="s">
        <v>177</v>
      </c>
      <c r="L51" s="2" t="s">
        <v>59</v>
      </c>
    </row>
    <row r="52" spans="1:12" x14ac:dyDescent="0.3">
      <c r="A52" s="16" t="s">
        <v>109</v>
      </c>
      <c r="B52" s="20" t="s">
        <v>20</v>
      </c>
      <c r="C52" s="5" t="s">
        <v>107</v>
      </c>
      <c r="D52" s="5" t="s">
        <v>115</v>
      </c>
      <c r="E52" s="5" t="s">
        <v>108</v>
      </c>
    </row>
    <row r="53" spans="1:12" x14ac:dyDescent="0.3">
      <c r="A53" s="16" t="s">
        <v>192</v>
      </c>
      <c r="B53" s="23">
        <v>2080000</v>
      </c>
      <c r="C53" s="23">
        <v>2080000</v>
      </c>
      <c r="D53" s="23">
        <v>9813944</v>
      </c>
      <c r="E53" s="38">
        <f>B53/1000000</f>
        <v>2.08</v>
      </c>
      <c r="G53" s="44">
        <v>2080000</v>
      </c>
      <c r="K53" s="25" t="s">
        <v>86</v>
      </c>
    </row>
    <row r="54" spans="1:12" x14ac:dyDescent="0.3">
      <c r="A54" s="16" t="s">
        <v>193</v>
      </c>
      <c r="B54" s="23">
        <v>4160000</v>
      </c>
      <c r="C54" s="23">
        <f>B54-B53</f>
        <v>2080000</v>
      </c>
      <c r="D54" s="23">
        <v>7733944</v>
      </c>
      <c r="E54" s="38">
        <f>B54/2000000</f>
        <v>2.08</v>
      </c>
      <c r="G54" s="44">
        <v>4160000</v>
      </c>
      <c r="K54" s="25" t="s">
        <v>23</v>
      </c>
      <c r="L54" s="25" t="s">
        <v>53</v>
      </c>
    </row>
    <row r="55" spans="1:12" x14ac:dyDescent="0.3">
      <c r="A55" s="16" t="s">
        <v>194</v>
      </c>
      <c r="B55" s="23">
        <v>6168038.4999999991</v>
      </c>
      <c r="C55" s="23">
        <f t="shared" ref="C55:C59" si="4">B55-B54</f>
        <v>2008038.4999999991</v>
      </c>
      <c r="D55" s="23">
        <v>5725905.5000000009</v>
      </c>
      <c r="E55" s="38">
        <f>B55/3000000</f>
        <v>2.056012833333333</v>
      </c>
      <c r="G55" s="44">
        <v>6168038.4999999991</v>
      </c>
      <c r="K55" s="5" t="s">
        <v>178</v>
      </c>
      <c r="L55" s="5" t="s">
        <v>179</v>
      </c>
    </row>
    <row r="56" spans="1:12" x14ac:dyDescent="0.3">
      <c r="A56" s="16" t="s">
        <v>195</v>
      </c>
      <c r="B56" s="23">
        <v>8070288.5</v>
      </c>
      <c r="C56" s="23">
        <f t="shared" si="4"/>
        <v>1902250.0000000009</v>
      </c>
      <c r="D56" s="23">
        <v>3823655.5</v>
      </c>
      <c r="E56" s="38">
        <f>B56/4000000</f>
        <v>2.017572125</v>
      </c>
      <c r="G56" s="44">
        <v>8070288.5</v>
      </c>
      <c r="K56" s="2" t="s">
        <v>180</v>
      </c>
      <c r="L56" s="2" t="s">
        <v>181</v>
      </c>
    </row>
    <row r="57" spans="1:12" x14ac:dyDescent="0.3">
      <c r="A57" s="16" t="s">
        <v>196</v>
      </c>
      <c r="B57" s="23">
        <v>9953149.4924242422</v>
      </c>
      <c r="C57" s="23">
        <f t="shared" si="4"/>
        <v>1882860.9924242422</v>
      </c>
      <c r="D57" s="23">
        <v>1940794.5075757578</v>
      </c>
      <c r="E57" s="38">
        <f>B57/5000000</f>
        <v>1.9906298984848485</v>
      </c>
      <c r="G57" s="44">
        <v>9953149.4924242422</v>
      </c>
      <c r="K57" s="2" t="s">
        <v>29</v>
      </c>
      <c r="L57" s="2" t="s">
        <v>182</v>
      </c>
    </row>
    <row r="58" spans="1:12" x14ac:dyDescent="0.3">
      <c r="A58" s="16" t="s">
        <v>197</v>
      </c>
      <c r="B58" s="23">
        <v>11709367.20923521</v>
      </c>
      <c r="C58" s="23">
        <f t="shared" si="4"/>
        <v>1756217.7168109678</v>
      </c>
      <c r="D58" s="23">
        <v>184576.79076479003</v>
      </c>
      <c r="E58" s="38">
        <f>B58/6000000</f>
        <v>1.9515612015392017</v>
      </c>
      <c r="G58" s="44">
        <v>11709367.20923521</v>
      </c>
    </row>
    <row r="59" spans="1:12" x14ac:dyDescent="0.3">
      <c r="A59" s="16" t="s">
        <v>198</v>
      </c>
      <c r="B59" s="23">
        <v>11893944</v>
      </c>
      <c r="C59" s="23">
        <f t="shared" si="4"/>
        <v>184576.79076479003</v>
      </c>
      <c r="D59" s="23">
        <v>0</v>
      </c>
      <c r="E59" s="38">
        <f>B59/7000000</f>
        <v>1.6991348571428571</v>
      </c>
      <c r="G59" s="44">
        <v>11893944</v>
      </c>
      <c r="K59" s="26" t="s">
        <v>60</v>
      </c>
    </row>
    <row r="60" spans="1:12" x14ac:dyDescent="0.3">
      <c r="K60" s="37" t="s">
        <v>61</v>
      </c>
    </row>
    <row r="61" spans="1:12" x14ac:dyDescent="0.3">
      <c r="K61" s="37" t="s">
        <v>62</v>
      </c>
    </row>
    <row r="62" spans="1:12" x14ac:dyDescent="0.3">
      <c r="K62" s="37" t="s">
        <v>63</v>
      </c>
    </row>
    <row r="63" spans="1:12" x14ac:dyDescent="0.3">
      <c r="K63" s="37" t="s">
        <v>64</v>
      </c>
    </row>
    <row r="64" spans="1:12" x14ac:dyDescent="0.3">
      <c r="K64" s="37" t="s">
        <v>63</v>
      </c>
    </row>
    <row r="65" spans="11:12" x14ac:dyDescent="0.3">
      <c r="K65" s="37" t="s">
        <v>66</v>
      </c>
    </row>
    <row r="66" spans="11:12" x14ac:dyDescent="0.3">
      <c r="K66" s="37" t="s">
        <v>63</v>
      </c>
    </row>
    <row r="67" spans="11:12" x14ac:dyDescent="0.3">
      <c r="K67" s="37" t="s">
        <v>67</v>
      </c>
    </row>
    <row r="68" spans="11:12" x14ac:dyDescent="0.3">
      <c r="K68" s="37" t="s">
        <v>63</v>
      </c>
    </row>
    <row r="69" spans="11:12" x14ac:dyDescent="0.3">
      <c r="K69" s="37" t="s">
        <v>69</v>
      </c>
    </row>
    <row r="70" spans="11:12" x14ac:dyDescent="0.3">
      <c r="K70" s="37" t="s">
        <v>63</v>
      </c>
    </row>
    <row r="71" spans="11:12" x14ac:dyDescent="0.3">
      <c r="K71" s="37" t="s">
        <v>70</v>
      </c>
    </row>
    <row r="72" spans="11:12" x14ac:dyDescent="0.3">
      <c r="K72" s="37" t="s">
        <v>63</v>
      </c>
    </row>
    <row r="73" spans="11:12" x14ac:dyDescent="0.3">
      <c r="K73" s="37" t="s">
        <v>183</v>
      </c>
    </row>
    <row r="74" spans="11:12" x14ac:dyDescent="0.3">
      <c r="K74" s="37" t="s">
        <v>63</v>
      </c>
      <c r="L74"/>
    </row>
    <row r="75" spans="11:12" x14ac:dyDescent="0.3">
      <c r="K75" s="37" t="s">
        <v>184</v>
      </c>
      <c r="L75"/>
    </row>
    <row r="76" spans="11:12" x14ac:dyDescent="0.3">
      <c r="K76" s="37" t="s">
        <v>63</v>
      </c>
      <c r="L76"/>
    </row>
    <row r="77" spans="11:12" x14ac:dyDescent="0.3">
      <c r="K77" s="37" t="s">
        <v>185</v>
      </c>
      <c r="L77"/>
    </row>
    <row r="78" spans="11:12" x14ac:dyDescent="0.3">
      <c r="K78" s="37" t="s">
        <v>63</v>
      </c>
      <c r="L78"/>
    </row>
    <row r="79" spans="11:12" x14ac:dyDescent="0.3">
      <c r="K79" s="37" t="s">
        <v>186</v>
      </c>
      <c r="L79"/>
    </row>
    <row r="80" spans="11:12" x14ac:dyDescent="0.3">
      <c r="K80" s="37" t="s">
        <v>63</v>
      </c>
      <c r="L80"/>
    </row>
    <row r="81" spans="11:12" x14ac:dyDescent="0.3">
      <c r="K81" s="37" t="s">
        <v>187</v>
      </c>
      <c r="L81"/>
    </row>
    <row r="82" spans="11:12" x14ac:dyDescent="0.3">
      <c r="K82" s="37" t="s">
        <v>63</v>
      </c>
      <c r="L82"/>
    </row>
    <row r="83" spans="11:12" x14ac:dyDescent="0.3">
      <c r="K83" s="37" t="s">
        <v>188</v>
      </c>
      <c r="L83"/>
    </row>
    <row r="84" spans="11:12" x14ac:dyDescent="0.3">
      <c r="K84" s="37" t="s">
        <v>63</v>
      </c>
      <c r="L84"/>
    </row>
    <row r="85" spans="11:12" x14ac:dyDescent="0.3">
      <c r="K85" s="37" t="s">
        <v>65</v>
      </c>
    </row>
    <row r="86" spans="11:12" x14ac:dyDescent="0.3">
      <c r="K86" s="37" t="s">
        <v>63</v>
      </c>
    </row>
    <row r="87" spans="11:12" x14ac:dyDescent="0.3">
      <c r="K87" s="37" t="s">
        <v>68</v>
      </c>
    </row>
    <row r="88" spans="11:12" x14ac:dyDescent="0.3">
      <c r="K88" s="37" t="s">
        <v>63</v>
      </c>
    </row>
    <row r="89" spans="11:12" x14ac:dyDescent="0.3">
      <c r="K89" s="37" t="s">
        <v>71</v>
      </c>
    </row>
    <row r="90" spans="11:12" x14ac:dyDescent="0.3">
      <c r="K90" s="37" t="s">
        <v>63</v>
      </c>
    </row>
    <row r="91" spans="11:12" x14ac:dyDescent="0.3">
      <c r="K91" s="37" t="s">
        <v>189</v>
      </c>
    </row>
    <row r="92" spans="11:12" x14ac:dyDescent="0.3">
      <c r="K92" s="37" t="s">
        <v>63</v>
      </c>
    </row>
    <row r="93" spans="11:12" x14ac:dyDescent="0.3">
      <c r="K93" s="37" t="s">
        <v>190</v>
      </c>
    </row>
    <row r="94" spans="11:12" x14ac:dyDescent="0.3">
      <c r="K94" s="37" t="s">
        <v>63</v>
      </c>
    </row>
    <row r="95" spans="11:12" x14ac:dyDescent="0.3">
      <c r="K95" s="37" t="s">
        <v>191</v>
      </c>
    </row>
  </sheetData>
  <scenarios current="0">
    <scenario name="S2 1.5M -&gt; 2.5M" count="9" user="Anil Jacob" comment="Created by Anil Jacob on 5/15/2026">
      <inputCells r="B18" val="2500000" numFmtId="3"/>
      <inputCells r="C18" val="131859.166666666" numFmtId="3"/>
      <inputCells r="D18" val="0" numFmtId="3"/>
      <inputCells r="B19" val="0" numFmtId="3"/>
      <inputCells r="C19" val="1483384.09090909" numFmtId="3"/>
      <inputCells r="D19" val="0" numFmtId="3"/>
      <inputCells r="B20" val="0" numFmtId="3"/>
      <inputCells r="C20" val="184756.742424243" numFmtId="3"/>
      <inputCells r="D20" val="700000" numFmtId="3"/>
    </scenario>
  </scenarios>
  <pageMargins left="0.75" right="0.75" top="1" bottom="1" header="0.5" footer="0.5"/>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D958-2B87-4603-AA00-535EC5A153BB}">
  <sheetPr>
    <tabColor theme="6" tint="0.79998168889431442"/>
  </sheetPr>
  <dimension ref="A1:P65"/>
  <sheetViews>
    <sheetView topLeftCell="A30" zoomScale="80" zoomScaleNormal="80" workbookViewId="0">
      <selection activeCell="D50" sqref="D50"/>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88</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89</v>
      </c>
      <c r="M7" s="5"/>
      <c r="N7" s="5"/>
      <c r="O7" s="5"/>
    </row>
    <row r="8" spans="1:16" x14ac:dyDescent="0.3">
      <c r="A8" s="7" t="s">
        <v>8</v>
      </c>
      <c r="B8" s="9">
        <v>1.7</v>
      </c>
      <c r="C8" s="9">
        <v>2.2000000000000002</v>
      </c>
      <c r="D8" s="9">
        <v>1.3</v>
      </c>
      <c r="E8" s="10">
        <v>3263445</v>
      </c>
      <c r="K8" s="16" t="s">
        <v>39</v>
      </c>
      <c r="L8" s="16" t="s">
        <v>90</v>
      </c>
      <c r="M8" s="5"/>
      <c r="N8" s="5"/>
      <c r="O8" s="5"/>
    </row>
    <row r="9" spans="1:16" x14ac:dyDescent="0.3">
      <c r="A9" s="7" t="s">
        <v>9</v>
      </c>
      <c r="B9" s="9">
        <v>1.5</v>
      </c>
      <c r="C9" s="9">
        <v>2</v>
      </c>
      <c r="D9" s="9">
        <v>1.2</v>
      </c>
      <c r="E9" s="10">
        <v>1265415</v>
      </c>
      <c r="K9" s="16" t="s">
        <v>91</v>
      </c>
      <c r="L9" s="32" t="s">
        <v>92</v>
      </c>
      <c r="M9" s="5"/>
      <c r="N9" s="5"/>
      <c r="O9" s="5"/>
    </row>
    <row r="10" spans="1:16" x14ac:dyDescent="0.3">
      <c r="A10" s="5"/>
      <c r="B10" s="5"/>
      <c r="C10" s="5"/>
      <c r="D10" s="29" t="s">
        <v>72</v>
      </c>
      <c r="E10" s="27">
        <f>SUM(E7:E9)</f>
        <v>9845322</v>
      </c>
      <c r="K10" s="16" t="s">
        <v>41</v>
      </c>
      <c r="L10" s="32" t="s">
        <v>93</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94</v>
      </c>
      <c r="L12" s="32">
        <v>5000000</v>
      </c>
      <c r="M12" s="5"/>
      <c r="N12" s="5"/>
      <c r="O12" s="5"/>
    </row>
    <row r="13" spans="1:16" x14ac:dyDescent="0.3">
      <c r="A13" s="6" t="s">
        <v>2</v>
      </c>
      <c r="B13" s="6" t="s">
        <v>11</v>
      </c>
      <c r="C13" s="6" t="s">
        <v>12</v>
      </c>
      <c r="D13" s="6" t="s">
        <v>13</v>
      </c>
      <c r="E13" s="6" t="s">
        <v>14</v>
      </c>
      <c r="K13" s="16" t="s">
        <v>95</v>
      </c>
      <c r="L13" s="32" t="s">
        <v>96</v>
      </c>
      <c r="M13" s="5"/>
      <c r="N13" s="5"/>
      <c r="O13" s="5"/>
    </row>
    <row r="14" spans="1:16" x14ac:dyDescent="0.3">
      <c r="A14" s="7" t="s">
        <v>7</v>
      </c>
      <c r="B14" s="10">
        <v>0</v>
      </c>
      <c r="C14" s="10">
        <v>0</v>
      </c>
      <c r="D14" s="10">
        <v>3797472.8571428559</v>
      </c>
      <c r="E14" s="10">
        <f>SUM(B14:D14)</f>
        <v>3797472.8571428559</v>
      </c>
      <c r="K14" s="35" t="s">
        <v>97</v>
      </c>
      <c r="L14" s="35" t="s">
        <v>96</v>
      </c>
      <c r="M14" s="19"/>
      <c r="N14" s="5"/>
      <c r="O14" s="5"/>
    </row>
    <row r="15" spans="1:16" x14ac:dyDescent="0.3">
      <c r="A15" s="7" t="s">
        <v>8</v>
      </c>
      <c r="B15" s="10">
        <v>0</v>
      </c>
      <c r="C15" s="10">
        <v>0</v>
      </c>
      <c r="D15" s="10">
        <v>1202527.1428571441</v>
      </c>
      <c r="E15" s="10">
        <f>SUM(B15:D15)</f>
        <v>1202527.1428571441</v>
      </c>
      <c r="K15" s="5" t="s">
        <v>45</v>
      </c>
      <c r="L15" s="34">
        <v>6879747</v>
      </c>
      <c r="M15" s="5"/>
      <c r="N15" s="5"/>
      <c r="O15" s="5"/>
    </row>
    <row r="16" spans="1:16" x14ac:dyDescent="0.3">
      <c r="A16" s="7" t="s">
        <v>9</v>
      </c>
      <c r="B16" s="10">
        <v>0</v>
      </c>
      <c r="C16" s="10">
        <v>0</v>
      </c>
      <c r="D16" s="10">
        <v>0</v>
      </c>
      <c r="E16" s="10">
        <f>SUM(B16:D16)</f>
        <v>0</v>
      </c>
      <c r="K16" s="5" t="s">
        <v>46</v>
      </c>
      <c r="L16" s="34">
        <v>2965575</v>
      </c>
      <c r="M16" s="5"/>
      <c r="N16" s="5"/>
      <c r="O16" s="5"/>
    </row>
    <row r="17" spans="1:15" x14ac:dyDescent="0.3">
      <c r="A17" s="8" t="s">
        <v>15</v>
      </c>
      <c r="B17" s="11">
        <f>SUM(B14:B16)</f>
        <v>0</v>
      </c>
      <c r="C17" s="11">
        <f>SUM(C14:C16)</f>
        <v>0</v>
      </c>
      <c r="D17" s="11">
        <f>SUM(D14:D16)</f>
        <v>5000000</v>
      </c>
      <c r="E17" s="11">
        <f>SUM(E14:E16)</f>
        <v>5000000</v>
      </c>
      <c r="K17" s="5" t="s">
        <v>98</v>
      </c>
      <c r="L17" s="5" t="s">
        <v>99</v>
      </c>
      <c r="M17" s="5"/>
      <c r="N17" s="5"/>
      <c r="O17" s="5"/>
    </row>
    <row r="18" spans="1:15" x14ac:dyDescent="0.3">
      <c r="A18" s="5"/>
      <c r="B18" s="5"/>
      <c r="C18" s="5"/>
      <c r="D18" s="5"/>
      <c r="E18" s="5"/>
      <c r="K18" s="25" t="s">
        <v>47</v>
      </c>
      <c r="L18" s="25" t="s">
        <v>100</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0</v>
      </c>
      <c r="C22" s="10">
        <f t="shared" si="0"/>
        <v>0</v>
      </c>
      <c r="D22" s="10">
        <f t="shared" si="0"/>
        <v>5316461.9999999981</v>
      </c>
      <c r="E22" s="10">
        <f>SUM(B22:D22)</f>
        <v>5316461.9999999981</v>
      </c>
      <c r="K22" s="16" t="s">
        <v>7</v>
      </c>
      <c r="L22" s="21">
        <v>0</v>
      </c>
      <c r="M22" s="21">
        <v>0</v>
      </c>
      <c r="N22" s="21">
        <v>3797473</v>
      </c>
      <c r="O22" s="21">
        <v>3797473</v>
      </c>
    </row>
    <row r="23" spans="1:15" x14ac:dyDescent="0.3">
      <c r="A23" s="7" t="s">
        <v>8</v>
      </c>
      <c r="B23" s="10">
        <f t="shared" si="0"/>
        <v>0</v>
      </c>
      <c r="C23" s="10">
        <f t="shared" si="0"/>
        <v>0</v>
      </c>
      <c r="D23" s="10">
        <f t="shared" si="0"/>
        <v>1563285.2857142873</v>
      </c>
      <c r="E23" s="10">
        <f>SUM(B23:D23)</f>
        <v>1563285.2857142873</v>
      </c>
      <c r="K23" s="16" t="s">
        <v>8</v>
      </c>
      <c r="L23" s="22">
        <v>0</v>
      </c>
      <c r="M23" s="21">
        <v>0</v>
      </c>
      <c r="N23" s="21">
        <v>1202527</v>
      </c>
      <c r="O23" s="21">
        <v>1202527</v>
      </c>
    </row>
    <row r="24" spans="1:15" x14ac:dyDescent="0.3">
      <c r="A24" s="7" t="s">
        <v>9</v>
      </c>
      <c r="B24" s="10">
        <f t="shared" si="0"/>
        <v>0</v>
      </c>
      <c r="C24" s="10">
        <f t="shared" si="0"/>
        <v>0</v>
      </c>
      <c r="D24" s="10">
        <f t="shared" si="0"/>
        <v>0</v>
      </c>
      <c r="E24" s="10">
        <f>SUM(B24:D24)</f>
        <v>0</v>
      </c>
      <c r="K24" s="16" t="s">
        <v>9</v>
      </c>
      <c r="L24" s="22">
        <v>0</v>
      </c>
      <c r="M24" s="21">
        <v>0</v>
      </c>
      <c r="N24" s="21">
        <v>0</v>
      </c>
      <c r="O24" s="21">
        <v>0</v>
      </c>
    </row>
    <row r="25" spans="1:15" x14ac:dyDescent="0.3">
      <c r="A25" s="8" t="s">
        <v>21</v>
      </c>
      <c r="B25" s="11">
        <f>SUM(B22:B24)</f>
        <v>0</v>
      </c>
      <c r="C25" s="11">
        <f>SUM(C22:C24)</f>
        <v>0</v>
      </c>
      <c r="D25" s="11">
        <f>SUM(D22:D24)</f>
        <v>6879747.2857142854</v>
      </c>
      <c r="E25" s="11">
        <f>SUM(E22:E24)</f>
        <v>6879747.2857142854</v>
      </c>
      <c r="K25" s="16" t="s">
        <v>15</v>
      </c>
      <c r="L25" s="21">
        <v>0</v>
      </c>
      <c r="M25" s="21">
        <v>0</v>
      </c>
      <c r="N25" s="21">
        <v>5000000</v>
      </c>
      <c r="O25" s="21">
        <v>5000000</v>
      </c>
    </row>
    <row r="26" spans="1:15" x14ac:dyDescent="0.3">
      <c r="A26" s="5"/>
      <c r="B26" s="5"/>
      <c r="C26" s="5"/>
      <c r="D26" s="5"/>
      <c r="E26" s="5"/>
    </row>
    <row r="27" spans="1:15" x14ac:dyDescent="0.3">
      <c r="A27" s="5"/>
      <c r="B27" s="5"/>
      <c r="C27" s="5"/>
      <c r="D27" s="29" t="s">
        <v>73</v>
      </c>
      <c r="E27" s="27">
        <f>E10-E25</f>
        <v>2965574.7142857146</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0</v>
      </c>
      <c r="M29" s="21">
        <v>0</v>
      </c>
      <c r="N29" s="21">
        <v>5316462</v>
      </c>
      <c r="O29" s="21">
        <v>5316462</v>
      </c>
    </row>
    <row r="30" spans="1:15" x14ac:dyDescent="0.3">
      <c r="A30" s="7" t="s">
        <v>26</v>
      </c>
      <c r="B30" s="10">
        <f>B17</f>
        <v>0</v>
      </c>
      <c r="C30" s="31">
        <v>0</v>
      </c>
      <c r="D30" s="5"/>
      <c r="E30" s="5"/>
      <c r="K30" s="16" t="s">
        <v>8</v>
      </c>
      <c r="L30" s="22">
        <v>0</v>
      </c>
      <c r="M30" s="21">
        <v>0</v>
      </c>
      <c r="N30" s="21">
        <v>1563285</v>
      </c>
      <c r="O30" s="21">
        <v>1563285</v>
      </c>
    </row>
    <row r="31" spans="1:15" x14ac:dyDescent="0.3">
      <c r="A31" s="7" t="s">
        <v>27</v>
      </c>
      <c r="B31" s="10">
        <f>C17</f>
        <v>0</v>
      </c>
      <c r="C31" s="31">
        <v>0</v>
      </c>
      <c r="D31" s="5"/>
      <c r="E31" s="5"/>
      <c r="K31" s="16" t="s">
        <v>9</v>
      </c>
      <c r="L31" s="22">
        <v>0</v>
      </c>
      <c r="M31" s="21">
        <v>0</v>
      </c>
      <c r="N31" s="21">
        <v>0</v>
      </c>
      <c r="O31" s="21">
        <v>0</v>
      </c>
    </row>
    <row r="32" spans="1:15" x14ac:dyDescent="0.3">
      <c r="A32" s="7" t="s">
        <v>28</v>
      </c>
      <c r="B32" s="10">
        <f>D17</f>
        <v>5000000</v>
      </c>
      <c r="C32" s="39">
        <v>5000000</v>
      </c>
      <c r="D32" s="5"/>
      <c r="E32" s="5"/>
      <c r="K32" s="16" t="s">
        <v>15</v>
      </c>
      <c r="L32" s="21">
        <v>0</v>
      </c>
      <c r="M32" s="21">
        <v>0</v>
      </c>
      <c r="N32" s="21">
        <v>6879747</v>
      </c>
      <c r="O32" s="21">
        <v>6879747</v>
      </c>
    </row>
    <row r="33" spans="1:12" x14ac:dyDescent="0.3">
      <c r="A33" s="7" t="s">
        <v>29</v>
      </c>
      <c r="B33" s="10">
        <f>E17</f>
        <v>5000000</v>
      </c>
      <c r="C33" s="10">
        <f>SUM(C30:C32)</f>
        <v>5000000</v>
      </c>
      <c r="D33" s="5"/>
      <c r="E33" s="5"/>
    </row>
    <row r="34" spans="1:12" x14ac:dyDescent="0.3">
      <c r="A34" s="7" t="s">
        <v>30</v>
      </c>
      <c r="B34" s="30">
        <f>E22</f>
        <v>5316461.9999999981</v>
      </c>
      <c r="C34" s="10">
        <v>5316462</v>
      </c>
      <c r="D34" s="5"/>
      <c r="E34" s="5"/>
      <c r="K34" s="26" t="s">
        <v>35</v>
      </c>
    </row>
    <row r="35" spans="1:12" x14ac:dyDescent="0.3">
      <c r="A35" s="7" t="s">
        <v>31</v>
      </c>
      <c r="B35" s="30">
        <f>E23</f>
        <v>1563285.2857142873</v>
      </c>
      <c r="C35" s="10">
        <v>3263445</v>
      </c>
      <c r="D35" s="5"/>
      <c r="E35" s="5"/>
      <c r="K35" s="17" t="s">
        <v>23</v>
      </c>
      <c r="L35" s="17" t="s">
        <v>53</v>
      </c>
    </row>
    <row r="36" spans="1:12" x14ac:dyDescent="0.3">
      <c r="A36" s="7" t="s">
        <v>32</v>
      </c>
      <c r="B36" s="30">
        <f>E24</f>
        <v>0</v>
      </c>
      <c r="C36" s="10">
        <v>1265415</v>
      </c>
      <c r="D36" s="5"/>
      <c r="E36" s="5"/>
      <c r="K36" s="20" t="s">
        <v>28</v>
      </c>
      <c r="L36" s="20" t="s">
        <v>55</v>
      </c>
    </row>
    <row r="37" spans="1:12" x14ac:dyDescent="0.3">
      <c r="A37" s="5"/>
      <c r="B37" s="5"/>
      <c r="C37" s="5"/>
      <c r="D37" s="5"/>
      <c r="E37" s="5"/>
      <c r="K37" s="20" t="s">
        <v>29</v>
      </c>
      <c r="L37" s="20" t="s">
        <v>55</v>
      </c>
    </row>
    <row r="38" spans="1:12" x14ac:dyDescent="0.3">
      <c r="K38" s="20" t="s">
        <v>58</v>
      </c>
      <c r="L38" s="20" t="s">
        <v>59</v>
      </c>
    </row>
    <row r="39" spans="1:12" x14ac:dyDescent="0.3">
      <c r="A39" s="13"/>
      <c r="B39" s="13"/>
    </row>
    <row r="40" spans="1:12" x14ac:dyDescent="0.3">
      <c r="A40" s="14"/>
      <c r="B40" s="12"/>
      <c r="K40" s="25" t="s">
        <v>86</v>
      </c>
    </row>
    <row r="41" spans="1:12" x14ac:dyDescent="0.3">
      <c r="A41" s="16" t="s">
        <v>106</v>
      </c>
      <c r="B41" s="5" t="s">
        <v>20</v>
      </c>
      <c r="C41" s="5" t="s">
        <v>107</v>
      </c>
      <c r="D41" s="5" t="s">
        <v>108</v>
      </c>
      <c r="K41" s="25" t="s">
        <v>23</v>
      </c>
      <c r="L41" s="25" t="s">
        <v>53</v>
      </c>
    </row>
    <row r="42" spans="1:12" x14ac:dyDescent="0.3">
      <c r="A42" s="16" t="s">
        <v>153</v>
      </c>
      <c r="B42" s="34">
        <v>1400000</v>
      </c>
      <c r="C42" s="34">
        <v>1400000</v>
      </c>
      <c r="D42" s="38">
        <f>B42/1000000</f>
        <v>1.4</v>
      </c>
      <c r="K42" s="5" t="s">
        <v>83</v>
      </c>
      <c r="L42" s="5" t="s">
        <v>101</v>
      </c>
    </row>
    <row r="43" spans="1:12" x14ac:dyDescent="0.3">
      <c r="A43" s="16" t="s">
        <v>154</v>
      </c>
      <c r="B43" s="34">
        <v>2800000</v>
      </c>
      <c r="C43" s="34">
        <f t="shared" ref="C43:C49" si="1">B43-B42</f>
        <v>1400000</v>
      </c>
      <c r="D43" s="38">
        <f>B43/2000000</f>
        <v>1.4</v>
      </c>
      <c r="K43" s="5" t="s">
        <v>84</v>
      </c>
      <c r="L43" s="5" t="s">
        <v>102</v>
      </c>
    </row>
    <row r="44" spans="1:12" x14ac:dyDescent="0.3">
      <c r="A44" s="16" t="s">
        <v>155</v>
      </c>
      <c r="B44" s="34">
        <v>4200000</v>
      </c>
      <c r="C44" s="34">
        <f t="shared" si="1"/>
        <v>1400000</v>
      </c>
      <c r="D44" s="38">
        <f>B44/3000000</f>
        <v>1.4</v>
      </c>
      <c r="K44" s="5" t="s">
        <v>103</v>
      </c>
      <c r="L44" s="5" t="s">
        <v>104</v>
      </c>
    </row>
    <row r="45" spans="1:12" x14ac:dyDescent="0.3">
      <c r="A45" s="16" t="s">
        <v>156</v>
      </c>
      <c r="B45" s="34">
        <v>5579747.2857142854</v>
      </c>
      <c r="C45" s="34">
        <f t="shared" si="1"/>
        <v>1379747.2857142854</v>
      </c>
      <c r="D45" s="38">
        <f>B45/4000000</f>
        <v>1.3949368214285713</v>
      </c>
      <c r="K45" s="5" t="s">
        <v>105</v>
      </c>
      <c r="L45" s="5" t="s">
        <v>104</v>
      </c>
    </row>
    <row r="46" spans="1:12" x14ac:dyDescent="0.3">
      <c r="A46" s="16" t="s">
        <v>157</v>
      </c>
      <c r="B46" s="34">
        <v>6879747.2857142854</v>
      </c>
      <c r="C46" s="34">
        <f t="shared" si="1"/>
        <v>1300000</v>
      </c>
      <c r="D46" s="38">
        <f>B46/5000000</f>
        <v>1.375949457142857</v>
      </c>
      <c r="K46" s="5"/>
      <c r="L46" s="5"/>
    </row>
    <row r="47" spans="1:12" x14ac:dyDescent="0.3">
      <c r="A47" s="16" t="s">
        <v>158</v>
      </c>
      <c r="B47" s="34">
        <v>8179747.2857142854</v>
      </c>
      <c r="C47" s="34">
        <f t="shared" si="1"/>
        <v>1300000</v>
      </c>
      <c r="D47" s="38">
        <f>B47/6000000</f>
        <v>1.3632912142857143</v>
      </c>
      <c r="K47" s="36" t="s">
        <v>60</v>
      </c>
    </row>
    <row r="48" spans="1:12" x14ac:dyDescent="0.3">
      <c r="A48" s="16" t="s">
        <v>159</v>
      </c>
      <c r="B48" s="34">
        <v>9410528.8021978009</v>
      </c>
      <c r="C48" s="34">
        <f t="shared" si="1"/>
        <v>1230781.5164835155</v>
      </c>
      <c r="D48" s="38">
        <f>B48/7000000</f>
        <v>1.3443612574568287</v>
      </c>
      <c r="K48" s="37" t="s">
        <v>61</v>
      </c>
    </row>
    <row r="49" spans="1:12" x14ac:dyDescent="0.3">
      <c r="A49" s="16" t="s">
        <v>160</v>
      </c>
      <c r="B49" s="34">
        <v>9845321.9999999981</v>
      </c>
      <c r="C49" s="34">
        <f t="shared" si="1"/>
        <v>434793.19780219719</v>
      </c>
      <c r="D49" s="38">
        <f>B49/8000000</f>
        <v>1.2306652499999997</v>
      </c>
      <c r="K49" s="37"/>
    </row>
    <row r="50" spans="1:12" x14ac:dyDescent="0.3">
      <c r="K50" s="37" t="s">
        <v>65</v>
      </c>
    </row>
    <row r="51" spans="1:12" x14ac:dyDescent="0.3">
      <c r="K51" s="37"/>
    </row>
    <row r="52" spans="1:12" x14ac:dyDescent="0.3">
      <c r="K52" s="37" t="s">
        <v>63</v>
      </c>
    </row>
    <row r="53" spans="1:12" x14ac:dyDescent="0.3">
      <c r="K53" s="37" t="s">
        <v>68</v>
      </c>
    </row>
    <row r="54" spans="1:12" x14ac:dyDescent="0.3">
      <c r="K54" s="37"/>
    </row>
    <row r="55" spans="1:12" x14ac:dyDescent="0.3">
      <c r="K55" s="37" t="s">
        <v>63</v>
      </c>
    </row>
    <row r="56" spans="1:12" x14ac:dyDescent="0.3">
      <c r="K56" s="37" t="s">
        <v>71</v>
      </c>
    </row>
    <row r="57" spans="1:12" x14ac:dyDescent="0.3">
      <c r="K57" s="5"/>
    </row>
    <row r="58" spans="1:12" x14ac:dyDescent="0.3">
      <c r="K58" s="5"/>
    </row>
    <row r="59" spans="1:12" x14ac:dyDescent="0.3">
      <c r="K59" s="5"/>
    </row>
    <row r="60" spans="1:12" x14ac:dyDescent="0.3">
      <c r="K60" s="5"/>
    </row>
    <row r="61" spans="1:12" x14ac:dyDescent="0.3">
      <c r="K61" s="5"/>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81BE-2E91-472E-BD3C-0D9D0EADC6E5}">
  <sheetPr>
    <tabColor theme="6" tint="0.79998168889431442"/>
  </sheetPr>
  <dimension ref="A1:P65"/>
  <sheetViews>
    <sheetView topLeftCell="B22" zoomScale="80" zoomScaleNormal="80" workbookViewId="0">
      <selection activeCell="K48" sqref="K48"/>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88</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116</v>
      </c>
      <c r="M7" s="5"/>
      <c r="N7" s="5"/>
      <c r="O7" s="5"/>
    </row>
    <row r="8" spans="1:16" x14ac:dyDescent="0.3">
      <c r="A8" s="7" t="s">
        <v>8</v>
      </c>
      <c r="B8" s="9">
        <v>1.7</v>
      </c>
      <c r="C8" s="9">
        <v>2.2000000000000002</v>
      </c>
      <c r="D8" s="9">
        <v>1.3</v>
      </c>
      <c r="E8" s="10">
        <v>3263445</v>
      </c>
      <c r="K8" s="16" t="s">
        <v>39</v>
      </c>
      <c r="L8" s="16" t="s">
        <v>117</v>
      </c>
      <c r="M8" s="5"/>
      <c r="N8" s="5"/>
      <c r="O8" s="5"/>
    </row>
    <row r="9" spans="1:16" x14ac:dyDescent="0.3">
      <c r="A9" s="7" t="s">
        <v>9</v>
      </c>
      <c r="B9" s="9">
        <v>1.5</v>
      </c>
      <c r="C9" s="9">
        <v>2</v>
      </c>
      <c r="D9" s="9">
        <v>1.2</v>
      </c>
      <c r="E9" s="10">
        <v>1265415</v>
      </c>
      <c r="K9" s="16" t="s">
        <v>91</v>
      </c>
      <c r="L9" s="32" t="s">
        <v>118</v>
      </c>
      <c r="M9" s="5"/>
      <c r="N9" s="5"/>
      <c r="O9" s="5"/>
    </row>
    <row r="10" spans="1:16" x14ac:dyDescent="0.3">
      <c r="A10" s="5"/>
      <c r="B10" s="5"/>
      <c r="C10" s="5"/>
      <c r="D10" s="29" t="s">
        <v>72</v>
      </c>
      <c r="E10" s="27">
        <f>SUM(E7:E9)</f>
        <v>9845322</v>
      </c>
      <c r="K10" s="16" t="s">
        <v>41</v>
      </c>
      <c r="L10" s="32" t="s">
        <v>119</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120</v>
      </c>
      <c r="L12" s="32">
        <v>4300000</v>
      </c>
      <c r="M12" s="5"/>
      <c r="N12" s="5"/>
      <c r="O12" s="5"/>
    </row>
    <row r="13" spans="1:16" x14ac:dyDescent="0.3">
      <c r="A13" s="6" t="s">
        <v>2</v>
      </c>
      <c r="B13" s="6" t="s">
        <v>11</v>
      </c>
      <c r="C13" s="6" t="s">
        <v>12</v>
      </c>
      <c r="D13" s="6" t="s">
        <v>13</v>
      </c>
      <c r="E13" s="6" t="s">
        <v>14</v>
      </c>
      <c r="K13" s="16" t="s">
        <v>95</v>
      </c>
      <c r="L13" s="32" t="s">
        <v>96</v>
      </c>
      <c r="M13" s="5"/>
      <c r="N13" s="5"/>
      <c r="O13" s="5"/>
    </row>
    <row r="14" spans="1:16" x14ac:dyDescent="0.3">
      <c r="A14" s="7" t="s">
        <v>7</v>
      </c>
      <c r="B14" s="10">
        <v>0</v>
      </c>
      <c r="C14" s="10">
        <v>2215192.5</v>
      </c>
      <c r="D14" s="10">
        <v>0</v>
      </c>
      <c r="E14" s="10">
        <f>SUM(B14:D14)</f>
        <v>2215192.5</v>
      </c>
      <c r="K14" s="35" t="s">
        <v>121</v>
      </c>
      <c r="L14" s="35" t="s">
        <v>96</v>
      </c>
      <c r="M14" s="19"/>
      <c r="N14" s="5"/>
      <c r="O14" s="5"/>
    </row>
    <row r="15" spans="1:16" x14ac:dyDescent="0.3">
      <c r="A15" s="7" t="s">
        <v>8</v>
      </c>
      <c r="B15" s="10">
        <v>0</v>
      </c>
      <c r="C15" s="10">
        <v>1483384.0909090908</v>
      </c>
      <c r="D15" s="10">
        <v>0</v>
      </c>
      <c r="E15" s="10">
        <f>SUM(B15:D15)</f>
        <v>1483384.0909090908</v>
      </c>
      <c r="K15" s="5" t="s">
        <v>45</v>
      </c>
      <c r="L15" s="34">
        <v>9782754</v>
      </c>
      <c r="M15" s="5"/>
      <c r="N15" s="5"/>
      <c r="O15" s="5"/>
    </row>
    <row r="16" spans="1:16" x14ac:dyDescent="0.3">
      <c r="A16" s="7" t="s">
        <v>9</v>
      </c>
      <c r="B16" s="10">
        <v>0</v>
      </c>
      <c r="C16" s="10">
        <v>601423.40909090918</v>
      </c>
      <c r="D16" s="10">
        <v>0</v>
      </c>
      <c r="E16" s="10">
        <f>SUM(B16:D16)</f>
        <v>601423.40909090918</v>
      </c>
      <c r="K16" s="5" t="s">
        <v>46</v>
      </c>
      <c r="L16" s="34">
        <v>62568</v>
      </c>
      <c r="M16" s="5"/>
      <c r="N16" s="5"/>
      <c r="O16" s="5"/>
    </row>
    <row r="17" spans="1:15" x14ac:dyDescent="0.3">
      <c r="A17" s="8" t="s">
        <v>15</v>
      </c>
      <c r="B17" s="11">
        <f>SUM(B14:B16)</f>
        <v>0</v>
      </c>
      <c r="C17" s="11">
        <f>SUM(C14:C16)</f>
        <v>4300000</v>
      </c>
      <c r="D17" s="11">
        <f>SUM(D14:D16)</f>
        <v>0</v>
      </c>
      <c r="E17" s="11">
        <f>SUM(E14:E16)</f>
        <v>4300000</v>
      </c>
      <c r="K17" s="5" t="s">
        <v>122</v>
      </c>
      <c r="L17" s="5" t="s">
        <v>123</v>
      </c>
      <c r="M17" s="5"/>
      <c r="N17" s="5"/>
      <c r="O17" s="5"/>
    </row>
    <row r="18" spans="1:15" x14ac:dyDescent="0.3">
      <c r="A18" s="5"/>
      <c r="B18" s="5"/>
      <c r="C18" s="5"/>
      <c r="D18" s="5"/>
      <c r="E18" s="5"/>
      <c r="K18" s="25" t="s">
        <v>47</v>
      </c>
      <c r="L18" s="25" t="s">
        <v>124</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0</v>
      </c>
      <c r="C22" s="10">
        <f t="shared" si="0"/>
        <v>5316462</v>
      </c>
      <c r="D22" s="10">
        <f t="shared" si="0"/>
        <v>0</v>
      </c>
      <c r="E22" s="10">
        <f>SUM(B22:D22)</f>
        <v>5316462</v>
      </c>
      <c r="K22" s="16" t="s">
        <v>7</v>
      </c>
      <c r="L22" s="21">
        <v>0</v>
      </c>
      <c r="M22" s="21">
        <v>2215193</v>
      </c>
      <c r="N22" s="21">
        <v>0</v>
      </c>
      <c r="O22" s="21">
        <v>2215193</v>
      </c>
    </row>
    <row r="23" spans="1:15" x14ac:dyDescent="0.3">
      <c r="A23" s="7" t="s">
        <v>8</v>
      </c>
      <c r="B23" s="10">
        <f t="shared" si="0"/>
        <v>0</v>
      </c>
      <c r="C23" s="10">
        <f t="shared" si="0"/>
        <v>3263445</v>
      </c>
      <c r="D23" s="10">
        <f t="shared" si="0"/>
        <v>0</v>
      </c>
      <c r="E23" s="10">
        <f>SUM(B23:D23)</f>
        <v>3263445</v>
      </c>
      <c r="K23" s="16" t="s">
        <v>8</v>
      </c>
      <c r="L23" s="22">
        <v>0</v>
      </c>
      <c r="M23" s="21">
        <v>1483384</v>
      </c>
      <c r="N23" s="21">
        <v>0</v>
      </c>
      <c r="O23" s="21">
        <v>1483384</v>
      </c>
    </row>
    <row r="24" spans="1:15" x14ac:dyDescent="0.3">
      <c r="A24" s="7" t="s">
        <v>9</v>
      </c>
      <c r="B24" s="10">
        <f t="shared" si="0"/>
        <v>0</v>
      </c>
      <c r="C24" s="10">
        <f t="shared" si="0"/>
        <v>1202846.8181818184</v>
      </c>
      <c r="D24" s="10">
        <f t="shared" si="0"/>
        <v>0</v>
      </c>
      <c r="E24" s="10">
        <f>SUM(B24:D24)</f>
        <v>1202846.8181818184</v>
      </c>
      <c r="K24" s="16" t="s">
        <v>9</v>
      </c>
      <c r="L24" s="22">
        <v>0</v>
      </c>
      <c r="M24" s="21">
        <v>601423</v>
      </c>
      <c r="N24" s="21">
        <v>0</v>
      </c>
      <c r="O24" s="21">
        <v>601423</v>
      </c>
    </row>
    <row r="25" spans="1:15" x14ac:dyDescent="0.3">
      <c r="A25" s="8" t="s">
        <v>21</v>
      </c>
      <c r="B25" s="11">
        <f>SUM(B22:B24)</f>
        <v>0</v>
      </c>
      <c r="C25" s="11">
        <f>SUM(C22:C24)</f>
        <v>9782753.8181818184</v>
      </c>
      <c r="D25" s="11">
        <f>SUM(D22:D24)</f>
        <v>0</v>
      </c>
      <c r="E25" s="11">
        <f>SUM(E22:E24)</f>
        <v>9782753.8181818184</v>
      </c>
      <c r="K25" s="16" t="s">
        <v>15</v>
      </c>
      <c r="L25" s="21">
        <v>0</v>
      </c>
      <c r="M25" s="21">
        <v>4300000</v>
      </c>
      <c r="N25" s="21">
        <v>0</v>
      </c>
      <c r="O25" s="21">
        <v>4300000</v>
      </c>
    </row>
    <row r="26" spans="1:15" x14ac:dyDescent="0.3">
      <c r="A26" s="5"/>
      <c r="B26" s="5"/>
      <c r="C26" s="5"/>
      <c r="D26" s="5"/>
      <c r="E26" s="5"/>
    </row>
    <row r="27" spans="1:15" x14ac:dyDescent="0.3">
      <c r="A27" s="5"/>
      <c r="B27" s="5"/>
      <c r="C27" s="5"/>
      <c r="D27" s="29" t="s">
        <v>73</v>
      </c>
      <c r="E27" s="27">
        <f>E10-E25</f>
        <v>62568.181818181649</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0</v>
      </c>
      <c r="M29" s="21">
        <v>5316462</v>
      </c>
      <c r="N29" s="21">
        <v>0</v>
      </c>
      <c r="O29" s="21">
        <v>5316462</v>
      </c>
    </row>
    <row r="30" spans="1:15" x14ac:dyDescent="0.3">
      <c r="A30" s="7" t="s">
        <v>26</v>
      </c>
      <c r="B30" s="10">
        <f>B17</f>
        <v>0</v>
      </c>
      <c r="C30" s="31">
        <v>0</v>
      </c>
      <c r="D30" s="5"/>
      <c r="E30" s="5"/>
      <c r="K30" s="16" t="s">
        <v>8</v>
      </c>
      <c r="L30" s="22">
        <v>0</v>
      </c>
      <c r="M30" s="21">
        <v>3263445</v>
      </c>
      <c r="N30" s="21">
        <v>0</v>
      </c>
      <c r="O30" s="21">
        <v>3263445</v>
      </c>
    </row>
    <row r="31" spans="1:15" x14ac:dyDescent="0.3">
      <c r="A31" s="7" t="s">
        <v>27</v>
      </c>
      <c r="B31" s="10">
        <f>C17</f>
        <v>4300000</v>
      </c>
      <c r="C31" s="39">
        <v>4300000</v>
      </c>
      <c r="D31" s="5"/>
      <c r="E31" s="5"/>
      <c r="K31" s="16" t="s">
        <v>9</v>
      </c>
      <c r="L31" s="22">
        <v>0</v>
      </c>
      <c r="M31" s="21">
        <v>1202847</v>
      </c>
      <c r="N31" s="21">
        <v>0</v>
      </c>
      <c r="O31" s="21">
        <v>1202847</v>
      </c>
    </row>
    <row r="32" spans="1:15" x14ac:dyDescent="0.3">
      <c r="A32" s="7" t="s">
        <v>28</v>
      </c>
      <c r="B32" s="10">
        <f>D17</f>
        <v>0</v>
      </c>
      <c r="C32" s="31">
        <v>0</v>
      </c>
      <c r="D32" s="5"/>
      <c r="E32" s="5"/>
      <c r="K32" s="16" t="s">
        <v>15</v>
      </c>
      <c r="L32" s="21">
        <v>0</v>
      </c>
      <c r="M32" s="21">
        <v>9782754</v>
      </c>
      <c r="N32" s="21">
        <v>0</v>
      </c>
      <c r="O32" s="21">
        <v>9782754</v>
      </c>
    </row>
    <row r="33" spans="1:12" x14ac:dyDescent="0.3">
      <c r="A33" s="7" t="s">
        <v>29</v>
      </c>
      <c r="B33" s="10">
        <f>E17</f>
        <v>4300000</v>
      </c>
      <c r="C33" s="10">
        <f>SUM(C30:C32)</f>
        <v>4300000</v>
      </c>
      <c r="D33" s="5"/>
      <c r="E33" s="5"/>
    </row>
    <row r="34" spans="1:12" x14ac:dyDescent="0.3">
      <c r="A34" s="7" t="s">
        <v>30</v>
      </c>
      <c r="B34" s="30">
        <f>E22</f>
        <v>5316462</v>
      </c>
      <c r="C34" s="10">
        <v>5316462</v>
      </c>
      <c r="D34" s="5"/>
      <c r="E34" s="5"/>
      <c r="K34" s="26" t="s">
        <v>35</v>
      </c>
    </row>
    <row r="35" spans="1:12" x14ac:dyDescent="0.3">
      <c r="A35" s="7" t="s">
        <v>31</v>
      </c>
      <c r="B35" s="30">
        <f>E23</f>
        <v>3263445</v>
      </c>
      <c r="C35" s="10">
        <v>3263445</v>
      </c>
      <c r="D35" s="5"/>
      <c r="E35" s="5"/>
      <c r="K35" s="17" t="s">
        <v>23</v>
      </c>
      <c r="L35" s="17" t="s">
        <v>53</v>
      </c>
    </row>
    <row r="36" spans="1:12" x14ac:dyDescent="0.3">
      <c r="A36" s="7" t="s">
        <v>32</v>
      </c>
      <c r="B36" s="30">
        <f>E24</f>
        <v>1202846.8181818184</v>
      </c>
      <c r="C36" s="10">
        <v>1265415</v>
      </c>
      <c r="D36" s="5"/>
      <c r="E36" s="5"/>
      <c r="K36" s="20" t="s">
        <v>125</v>
      </c>
      <c r="L36" s="20" t="s">
        <v>55</v>
      </c>
    </row>
    <row r="37" spans="1:12" x14ac:dyDescent="0.3">
      <c r="A37" s="5"/>
      <c r="B37" s="5"/>
      <c r="C37" s="5"/>
      <c r="D37" s="5"/>
      <c r="E37" s="5"/>
      <c r="K37" s="20" t="s">
        <v>29</v>
      </c>
      <c r="L37" s="20" t="s">
        <v>55</v>
      </c>
    </row>
    <row r="38" spans="1:12" x14ac:dyDescent="0.3">
      <c r="K38" s="20" t="s">
        <v>58</v>
      </c>
      <c r="L38" s="20" t="s">
        <v>59</v>
      </c>
    </row>
    <row r="39" spans="1:12" x14ac:dyDescent="0.3">
      <c r="A39" s="13"/>
      <c r="B39" s="13"/>
      <c r="K39" s="2" t="s">
        <v>83</v>
      </c>
      <c r="L39" s="2" t="s">
        <v>59</v>
      </c>
    </row>
    <row r="40" spans="1:12" x14ac:dyDescent="0.3">
      <c r="A40" s="14"/>
      <c r="B40" s="12"/>
    </row>
    <row r="41" spans="1:12" x14ac:dyDescent="0.3">
      <c r="A41" s="16" t="s">
        <v>109</v>
      </c>
      <c r="B41" s="5" t="s">
        <v>20</v>
      </c>
      <c r="C41" s="5" t="s">
        <v>107</v>
      </c>
      <c r="D41" s="5" t="s">
        <v>115</v>
      </c>
      <c r="E41" s="5" t="s">
        <v>108</v>
      </c>
      <c r="K41" s="25" t="s">
        <v>86</v>
      </c>
    </row>
    <row r="42" spans="1:12" x14ac:dyDescent="0.3">
      <c r="A42" s="16" t="s">
        <v>110</v>
      </c>
      <c r="B42" s="34">
        <v>2400000</v>
      </c>
      <c r="C42" s="34">
        <v>2400000</v>
      </c>
      <c r="D42" s="34">
        <v>7445322</v>
      </c>
      <c r="E42" s="38">
        <f>B42/1000000</f>
        <v>2.4</v>
      </c>
      <c r="K42" s="25" t="s">
        <v>23</v>
      </c>
      <c r="L42" s="25" t="s">
        <v>53</v>
      </c>
    </row>
    <row r="43" spans="1:12" x14ac:dyDescent="0.3">
      <c r="A43" s="16" t="s">
        <v>111</v>
      </c>
      <c r="B43" s="34">
        <v>4800000</v>
      </c>
      <c r="C43" s="34">
        <f>B43-B42</f>
        <v>2400000</v>
      </c>
      <c r="D43" s="34">
        <v>5045322</v>
      </c>
      <c r="E43" s="38">
        <f>B43/2000000</f>
        <v>2.4</v>
      </c>
      <c r="K43" s="5" t="s">
        <v>84</v>
      </c>
      <c r="L43" s="5" t="s">
        <v>126</v>
      </c>
    </row>
    <row r="44" spans="1:12" x14ac:dyDescent="0.3">
      <c r="A44" s="16" t="s">
        <v>112</v>
      </c>
      <c r="B44" s="34">
        <v>7043038.5</v>
      </c>
      <c r="C44" s="34">
        <f>B44-B43</f>
        <v>2243038.5</v>
      </c>
      <c r="D44" s="34">
        <v>2802283.5</v>
      </c>
      <c r="E44" s="38">
        <f>B44/3000000</f>
        <v>2.3476794999999999</v>
      </c>
      <c r="K44" s="5" t="s">
        <v>103</v>
      </c>
      <c r="L44" s="5" t="s">
        <v>104</v>
      </c>
    </row>
    <row r="45" spans="1:12" x14ac:dyDescent="0.3">
      <c r="A45" s="16" t="s">
        <v>113</v>
      </c>
      <c r="B45" s="34">
        <v>9182753.8181818184</v>
      </c>
      <c r="C45" s="34">
        <f>B45-B44</f>
        <v>2139715.3181818184</v>
      </c>
      <c r="D45" s="34">
        <v>662568.18181818165</v>
      </c>
      <c r="E45" s="38">
        <f>B45/5000000</f>
        <v>1.8365507636363636</v>
      </c>
      <c r="K45" s="5" t="s">
        <v>127</v>
      </c>
      <c r="L45" s="5" t="s">
        <v>104</v>
      </c>
    </row>
    <row r="46" spans="1:12" x14ac:dyDescent="0.3">
      <c r="A46" s="16" t="s">
        <v>114</v>
      </c>
      <c r="B46" s="34">
        <v>9845322</v>
      </c>
      <c r="C46" s="34">
        <f>B46-B45</f>
        <v>662568.18181818165</v>
      </c>
      <c r="D46" s="34">
        <v>0</v>
      </c>
      <c r="E46" s="38">
        <f>B46/6000000</f>
        <v>1.640887</v>
      </c>
      <c r="K46" s="5"/>
      <c r="L46" s="5"/>
    </row>
    <row r="47" spans="1:12" x14ac:dyDescent="0.3">
      <c r="A47" s="16"/>
      <c r="B47" s="40"/>
      <c r="C47" s="34"/>
      <c r="D47" s="34"/>
      <c r="E47" s="38"/>
      <c r="K47" s="36" t="s">
        <v>60</v>
      </c>
    </row>
    <row r="48" spans="1:12" x14ac:dyDescent="0.3">
      <c r="A48" s="16"/>
      <c r="B48" s="40"/>
      <c r="C48" s="34"/>
      <c r="D48" s="34"/>
      <c r="E48" s="38"/>
      <c r="K48" s="37" t="s">
        <v>61</v>
      </c>
    </row>
    <row r="49" spans="1:12" x14ac:dyDescent="0.3">
      <c r="A49" s="16"/>
      <c r="B49" s="40"/>
      <c r="C49" s="34"/>
      <c r="D49" s="34"/>
      <c r="E49" s="38"/>
      <c r="K49" s="37"/>
    </row>
    <row r="50" spans="1:12" x14ac:dyDescent="0.3">
      <c r="K50" s="37" t="s">
        <v>64</v>
      </c>
    </row>
    <row r="51" spans="1:12" x14ac:dyDescent="0.3">
      <c r="K51" s="37"/>
    </row>
    <row r="52" spans="1:12" x14ac:dyDescent="0.3">
      <c r="K52" s="37" t="s">
        <v>63</v>
      </c>
    </row>
    <row r="53" spans="1:12" x14ac:dyDescent="0.3">
      <c r="K53" s="37" t="s">
        <v>67</v>
      </c>
    </row>
    <row r="54" spans="1:12" x14ac:dyDescent="0.3">
      <c r="K54" s="37"/>
    </row>
    <row r="55" spans="1:12" x14ac:dyDescent="0.3">
      <c r="K55" s="37" t="s">
        <v>63</v>
      </c>
    </row>
    <row r="56" spans="1:12" x14ac:dyDescent="0.3">
      <c r="K56" s="37" t="s">
        <v>70</v>
      </c>
    </row>
    <row r="57" spans="1:12" x14ac:dyDescent="0.3">
      <c r="K57" s="5"/>
    </row>
    <row r="58" spans="1:12" x14ac:dyDescent="0.3">
      <c r="K58" s="5"/>
    </row>
    <row r="59" spans="1:12" x14ac:dyDescent="0.3">
      <c r="K59" s="5"/>
    </row>
    <row r="60" spans="1:12" x14ac:dyDescent="0.3">
      <c r="K60" s="5"/>
    </row>
    <row r="61" spans="1:12" x14ac:dyDescent="0.3">
      <c r="K61" s="5"/>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D2B2-FA1D-4ABB-A4AD-6A8D375989B6}">
  <sheetPr>
    <tabColor theme="6" tint="0.79998168889431442"/>
  </sheetPr>
  <dimension ref="A1:P65"/>
  <sheetViews>
    <sheetView topLeftCell="A21" zoomScale="80" zoomScaleNormal="80" workbookViewId="0">
      <selection activeCell="A41" sqref="A41:E46"/>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128</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116</v>
      </c>
      <c r="M7" s="5"/>
      <c r="N7" s="5"/>
      <c r="O7" s="5"/>
    </row>
    <row r="8" spans="1:16" x14ac:dyDescent="0.3">
      <c r="A8" s="7" t="s">
        <v>8</v>
      </c>
      <c r="B8" s="9">
        <v>1.7</v>
      </c>
      <c r="C8" s="9">
        <v>2.2000000000000002</v>
      </c>
      <c r="D8" s="9">
        <v>1.3</v>
      </c>
      <c r="E8" s="10">
        <v>3263445</v>
      </c>
      <c r="K8" s="16" t="s">
        <v>39</v>
      </c>
      <c r="L8" s="16" t="s">
        <v>117</v>
      </c>
      <c r="M8" s="5"/>
      <c r="N8" s="5"/>
      <c r="O8" s="5"/>
    </row>
    <row r="9" spans="1:16" x14ac:dyDescent="0.3">
      <c r="A9" s="7" t="s">
        <v>9</v>
      </c>
      <c r="B9" s="9">
        <v>1.5</v>
      </c>
      <c r="C9" s="9">
        <v>2</v>
      </c>
      <c r="D9" s="9">
        <v>1.2</v>
      </c>
      <c r="E9" s="10">
        <v>1265415</v>
      </c>
      <c r="K9" s="16" t="s">
        <v>91</v>
      </c>
      <c r="L9" s="32" t="s">
        <v>118</v>
      </c>
      <c r="M9" s="5"/>
      <c r="N9" s="5"/>
      <c r="O9" s="5"/>
    </row>
    <row r="10" spans="1:16" x14ac:dyDescent="0.3">
      <c r="A10" s="5"/>
      <c r="B10" s="5"/>
      <c r="C10" s="5"/>
      <c r="D10" s="29" t="s">
        <v>72</v>
      </c>
      <c r="E10" s="27">
        <f>SUM(E7:E9)</f>
        <v>9845322</v>
      </c>
      <c r="K10" s="16" t="s">
        <v>41</v>
      </c>
      <c r="L10" s="32" t="s">
        <v>119</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120</v>
      </c>
      <c r="L12" s="32">
        <v>4300000</v>
      </c>
      <c r="M12" s="5"/>
      <c r="N12" s="5"/>
      <c r="O12" s="5"/>
    </row>
    <row r="13" spans="1:16" x14ac:dyDescent="0.3">
      <c r="A13" s="6" t="s">
        <v>2</v>
      </c>
      <c r="B13" s="6" t="s">
        <v>11</v>
      </c>
      <c r="C13" s="6" t="s">
        <v>12</v>
      </c>
      <c r="D13" s="6" t="s">
        <v>13</v>
      </c>
      <c r="E13" s="6" t="s">
        <v>14</v>
      </c>
      <c r="K13" s="16" t="s">
        <v>95</v>
      </c>
      <c r="L13" s="32" t="s">
        <v>96</v>
      </c>
      <c r="M13" s="5"/>
      <c r="N13" s="5"/>
      <c r="O13" s="5"/>
    </row>
    <row r="14" spans="1:16" x14ac:dyDescent="0.3">
      <c r="A14" s="7" t="s">
        <v>7</v>
      </c>
      <c r="B14" s="10">
        <v>0</v>
      </c>
      <c r="C14" s="10">
        <v>2215192.5</v>
      </c>
      <c r="D14" s="10">
        <v>0</v>
      </c>
      <c r="E14" s="10">
        <f>SUM(B14:D14)</f>
        <v>2215192.5</v>
      </c>
      <c r="K14" s="35" t="s">
        <v>121</v>
      </c>
      <c r="L14" s="35" t="s">
        <v>96</v>
      </c>
      <c r="M14" s="19"/>
      <c r="N14" s="5"/>
      <c r="O14" s="5"/>
    </row>
    <row r="15" spans="1:16" x14ac:dyDescent="0.3">
      <c r="A15" s="7" t="s">
        <v>8</v>
      </c>
      <c r="B15" s="10">
        <v>0</v>
      </c>
      <c r="C15" s="10">
        <v>1483384.0909090908</v>
      </c>
      <c r="D15" s="10">
        <v>0</v>
      </c>
      <c r="E15" s="10">
        <f>SUM(B15:D15)</f>
        <v>1483384.0909090908</v>
      </c>
      <c r="K15" s="5" t="s">
        <v>45</v>
      </c>
      <c r="L15" s="34">
        <v>9782754</v>
      </c>
      <c r="M15" s="5"/>
      <c r="N15" s="5"/>
      <c r="O15" s="5"/>
    </row>
    <row r="16" spans="1:16" x14ac:dyDescent="0.3">
      <c r="A16" s="7" t="s">
        <v>9</v>
      </c>
      <c r="B16" s="10">
        <v>0</v>
      </c>
      <c r="C16" s="10">
        <v>601423.40909090918</v>
      </c>
      <c r="D16" s="10">
        <v>0</v>
      </c>
      <c r="E16" s="10">
        <f>SUM(B16:D16)</f>
        <v>601423.40909090918</v>
      </c>
      <c r="K16" s="5" t="s">
        <v>46</v>
      </c>
      <c r="L16" s="34">
        <v>62568</v>
      </c>
      <c r="M16" s="5"/>
      <c r="N16" s="5"/>
      <c r="O16" s="5"/>
    </row>
    <row r="17" spans="1:15" x14ac:dyDescent="0.3">
      <c r="A17" s="8" t="s">
        <v>15</v>
      </c>
      <c r="B17" s="11">
        <f>SUM(B14:B16)</f>
        <v>0</v>
      </c>
      <c r="C17" s="11">
        <f>SUM(C14:C16)</f>
        <v>4300000</v>
      </c>
      <c r="D17" s="11">
        <f>SUM(D14:D16)</f>
        <v>0</v>
      </c>
      <c r="E17" s="11">
        <f>SUM(E14:E16)</f>
        <v>4300000</v>
      </c>
      <c r="K17" s="5" t="s">
        <v>122</v>
      </c>
      <c r="L17" s="5" t="s">
        <v>123</v>
      </c>
      <c r="M17" s="5"/>
      <c r="N17" s="5"/>
      <c r="O17" s="5"/>
    </row>
    <row r="18" spans="1:15" x14ac:dyDescent="0.3">
      <c r="A18" s="5"/>
      <c r="B18" s="5"/>
      <c r="C18" s="5"/>
      <c r="D18" s="5"/>
      <c r="E18" s="5"/>
      <c r="K18" s="25" t="s">
        <v>47</v>
      </c>
      <c r="L18" s="25" t="s">
        <v>124</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0</v>
      </c>
      <c r="C22" s="10">
        <f t="shared" si="0"/>
        <v>5316462</v>
      </c>
      <c r="D22" s="10">
        <f t="shared" si="0"/>
        <v>0</v>
      </c>
      <c r="E22" s="10">
        <f>SUM(B22:D22)</f>
        <v>5316462</v>
      </c>
      <c r="K22" s="16" t="s">
        <v>7</v>
      </c>
      <c r="L22" s="21">
        <v>0</v>
      </c>
      <c r="M22" s="21">
        <v>2215193</v>
      </c>
      <c r="N22" s="21">
        <v>0</v>
      </c>
      <c r="O22" s="21">
        <v>2215193</v>
      </c>
    </row>
    <row r="23" spans="1:15" x14ac:dyDescent="0.3">
      <c r="A23" s="7" t="s">
        <v>8</v>
      </c>
      <c r="B23" s="10">
        <f t="shared" si="0"/>
        <v>0</v>
      </c>
      <c r="C23" s="10">
        <f t="shared" si="0"/>
        <v>3263445</v>
      </c>
      <c r="D23" s="10">
        <f t="shared" si="0"/>
        <v>0</v>
      </c>
      <c r="E23" s="10">
        <f>SUM(B23:D23)</f>
        <v>3263445</v>
      </c>
      <c r="K23" s="16" t="s">
        <v>8</v>
      </c>
      <c r="L23" s="22">
        <v>0</v>
      </c>
      <c r="M23" s="21">
        <v>1483384</v>
      </c>
      <c r="N23" s="21">
        <v>0</v>
      </c>
      <c r="O23" s="21">
        <v>1483384</v>
      </c>
    </row>
    <row r="24" spans="1:15" x14ac:dyDescent="0.3">
      <c r="A24" s="7" t="s">
        <v>9</v>
      </c>
      <c r="B24" s="10">
        <f t="shared" si="0"/>
        <v>0</v>
      </c>
      <c r="C24" s="10">
        <f t="shared" si="0"/>
        <v>1202846.8181818184</v>
      </c>
      <c r="D24" s="10">
        <f t="shared" si="0"/>
        <v>0</v>
      </c>
      <c r="E24" s="10">
        <f>SUM(B24:D24)</f>
        <v>1202846.8181818184</v>
      </c>
      <c r="K24" s="16" t="s">
        <v>9</v>
      </c>
      <c r="L24" s="22">
        <v>0</v>
      </c>
      <c r="M24" s="21">
        <v>601423</v>
      </c>
      <c r="N24" s="21">
        <v>0</v>
      </c>
      <c r="O24" s="21">
        <v>601423</v>
      </c>
    </row>
    <row r="25" spans="1:15" x14ac:dyDescent="0.3">
      <c r="A25" s="8" t="s">
        <v>21</v>
      </c>
      <c r="B25" s="11">
        <f>SUM(B22:B24)</f>
        <v>0</v>
      </c>
      <c r="C25" s="11">
        <f>SUM(C22:C24)</f>
        <v>9782753.8181818184</v>
      </c>
      <c r="D25" s="11">
        <f>SUM(D22:D24)</f>
        <v>0</v>
      </c>
      <c r="E25" s="11">
        <f>SUM(E22:E24)</f>
        <v>9782753.8181818184</v>
      </c>
      <c r="K25" s="16" t="s">
        <v>15</v>
      </c>
      <c r="L25" s="21">
        <v>0</v>
      </c>
      <c r="M25" s="21">
        <v>4300000</v>
      </c>
      <c r="N25" s="21">
        <v>0</v>
      </c>
      <c r="O25" s="21">
        <v>4300000</v>
      </c>
    </row>
    <row r="26" spans="1:15" x14ac:dyDescent="0.3">
      <c r="A26" s="5"/>
      <c r="B26" s="5"/>
      <c r="C26" s="5"/>
      <c r="D26" s="5"/>
      <c r="E26" s="5"/>
    </row>
    <row r="27" spans="1:15" x14ac:dyDescent="0.3">
      <c r="A27" s="5"/>
      <c r="B27" s="5"/>
      <c r="C27" s="5"/>
      <c r="D27" s="29" t="s">
        <v>73</v>
      </c>
      <c r="E27" s="27">
        <f>E10-E25</f>
        <v>62568.181818181649</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0</v>
      </c>
      <c r="M29" s="21">
        <v>5316462</v>
      </c>
      <c r="N29" s="21">
        <v>0</v>
      </c>
      <c r="O29" s="21">
        <v>5316462</v>
      </c>
    </row>
    <row r="30" spans="1:15" x14ac:dyDescent="0.3">
      <c r="A30" s="7" t="s">
        <v>26</v>
      </c>
      <c r="B30" s="10">
        <f>B17</f>
        <v>0</v>
      </c>
      <c r="C30" s="31">
        <v>0</v>
      </c>
      <c r="D30" s="5"/>
      <c r="E30" s="5"/>
      <c r="K30" s="16" t="s">
        <v>8</v>
      </c>
      <c r="L30" s="22">
        <v>0</v>
      </c>
      <c r="M30" s="21">
        <v>3263445</v>
      </c>
      <c r="N30" s="21">
        <v>0</v>
      </c>
      <c r="O30" s="21">
        <v>3263445</v>
      </c>
    </row>
    <row r="31" spans="1:15" x14ac:dyDescent="0.3">
      <c r="A31" s="7" t="s">
        <v>27</v>
      </c>
      <c r="B31" s="10">
        <f>C17</f>
        <v>4300000</v>
      </c>
      <c r="C31" s="39">
        <v>4300000</v>
      </c>
      <c r="D31" s="5"/>
      <c r="E31" s="5"/>
      <c r="K31" s="16" t="s">
        <v>9</v>
      </c>
      <c r="L31" s="22">
        <v>0</v>
      </c>
      <c r="M31" s="21">
        <v>1202847</v>
      </c>
      <c r="N31" s="21">
        <v>0</v>
      </c>
      <c r="O31" s="21">
        <v>1202847</v>
      </c>
    </row>
    <row r="32" spans="1:15" x14ac:dyDescent="0.3">
      <c r="A32" s="7" t="s">
        <v>28</v>
      </c>
      <c r="B32" s="10">
        <f>D17</f>
        <v>0</v>
      </c>
      <c r="C32" s="31">
        <v>0</v>
      </c>
      <c r="D32" s="5"/>
      <c r="E32" s="5"/>
      <c r="K32" s="16" t="s">
        <v>15</v>
      </c>
      <c r="L32" s="21">
        <v>0</v>
      </c>
      <c r="M32" s="21">
        <v>9782754</v>
      </c>
      <c r="N32" s="21">
        <v>0</v>
      </c>
      <c r="O32" s="21">
        <v>9782754</v>
      </c>
    </row>
    <row r="33" spans="1:12" x14ac:dyDescent="0.3">
      <c r="A33" s="7" t="s">
        <v>29</v>
      </c>
      <c r="B33" s="10">
        <f>E17</f>
        <v>4300000</v>
      </c>
      <c r="C33" s="10">
        <f>SUM(C30:C32)</f>
        <v>4300000</v>
      </c>
      <c r="D33" s="5"/>
      <c r="E33" s="5"/>
    </row>
    <row r="34" spans="1:12" x14ac:dyDescent="0.3">
      <c r="A34" s="7" t="s">
        <v>30</v>
      </c>
      <c r="B34" s="30">
        <f>E22</f>
        <v>5316462</v>
      </c>
      <c r="C34" s="10">
        <v>5316462</v>
      </c>
      <c r="D34" s="5"/>
      <c r="E34" s="5"/>
      <c r="K34" s="26" t="s">
        <v>35</v>
      </c>
    </row>
    <row r="35" spans="1:12" x14ac:dyDescent="0.3">
      <c r="A35" s="7" t="s">
        <v>31</v>
      </c>
      <c r="B35" s="30">
        <f>E23</f>
        <v>3263445</v>
      </c>
      <c r="C35" s="10">
        <v>3263445</v>
      </c>
      <c r="D35" s="5"/>
      <c r="E35" s="5"/>
      <c r="K35" s="17" t="s">
        <v>23</v>
      </c>
      <c r="L35" s="17" t="s">
        <v>53</v>
      </c>
    </row>
    <row r="36" spans="1:12" x14ac:dyDescent="0.3">
      <c r="A36" s="7" t="s">
        <v>32</v>
      </c>
      <c r="B36" s="30">
        <f>E24</f>
        <v>1202846.8181818184</v>
      </c>
      <c r="C36" s="10">
        <v>1265415</v>
      </c>
      <c r="D36" s="5"/>
      <c r="E36" s="5"/>
      <c r="K36" s="20" t="s">
        <v>125</v>
      </c>
      <c r="L36" s="20" t="s">
        <v>55</v>
      </c>
    </row>
    <row r="37" spans="1:12" x14ac:dyDescent="0.3">
      <c r="A37" s="5"/>
      <c r="B37" s="5"/>
      <c r="C37" s="5"/>
      <c r="D37" s="5"/>
      <c r="E37" s="5"/>
      <c r="K37" s="20" t="s">
        <v>29</v>
      </c>
      <c r="L37" s="20" t="s">
        <v>55</v>
      </c>
    </row>
    <row r="38" spans="1:12" x14ac:dyDescent="0.3">
      <c r="K38" s="20" t="s">
        <v>58</v>
      </c>
      <c r="L38" s="20" t="s">
        <v>59</v>
      </c>
    </row>
    <row r="39" spans="1:12" x14ac:dyDescent="0.3">
      <c r="A39" s="13"/>
      <c r="B39" s="13"/>
      <c r="K39" s="2" t="s">
        <v>83</v>
      </c>
      <c r="L39" s="2" t="s">
        <v>59</v>
      </c>
    </row>
    <row r="40" spans="1:12" x14ac:dyDescent="0.3">
      <c r="A40" s="14"/>
      <c r="B40" s="12"/>
    </row>
    <row r="41" spans="1:12" x14ac:dyDescent="0.3">
      <c r="A41" s="16" t="s">
        <v>109</v>
      </c>
      <c r="B41" s="5" t="s">
        <v>20</v>
      </c>
      <c r="C41" s="5" t="s">
        <v>107</v>
      </c>
      <c r="D41" s="5" t="s">
        <v>115</v>
      </c>
      <c r="E41" s="5" t="s">
        <v>108</v>
      </c>
      <c r="K41" s="25" t="s">
        <v>86</v>
      </c>
    </row>
    <row r="42" spans="1:12" x14ac:dyDescent="0.3">
      <c r="A42" s="16" t="s">
        <v>110</v>
      </c>
      <c r="B42" s="34">
        <v>2400000</v>
      </c>
      <c r="C42" s="34">
        <v>2400000</v>
      </c>
      <c r="D42" s="34">
        <v>7445322</v>
      </c>
      <c r="E42" s="38">
        <f>B42/1000000</f>
        <v>2.4</v>
      </c>
      <c r="K42" s="25" t="s">
        <v>23</v>
      </c>
      <c r="L42" s="25" t="s">
        <v>53</v>
      </c>
    </row>
    <row r="43" spans="1:12" x14ac:dyDescent="0.3">
      <c r="A43" s="16" t="s">
        <v>111</v>
      </c>
      <c r="B43" s="34">
        <v>4800000</v>
      </c>
      <c r="C43" s="34">
        <f>B43-B42</f>
        <v>2400000</v>
      </c>
      <c r="D43" s="34">
        <v>5045322</v>
      </c>
      <c r="E43" s="38">
        <f>B43/2000000</f>
        <v>2.4</v>
      </c>
      <c r="K43" s="5" t="s">
        <v>84</v>
      </c>
      <c r="L43" s="5" t="s">
        <v>126</v>
      </c>
    </row>
    <row r="44" spans="1:12" x14ac:dyDescent="0.3">
      <c r="A44" s="16" t="s">
        <v>112</v>
      </c>
      <c r="B44" s="34">
        <v>7043038.5</v>
      </c>
      <c r="C44" s="34">
        <f>B44-B43</f>
        <v>2243038.5</v>
      </c>
      <c r="D44" s="34">
        <v>2802283.5</v>
      </c>
      <c r="E44" s="38">
        <f>B44/3000000</f>
        <v>2.3476794999999999</v>
      </c>
      <c r="K44" s="5" t="s">
        <v>103</v>
      </c>
      <c r="L44" s="5" t="s">
        <v>104</v>
      </c>
    </row>
    <row r="45" spans="1:12" x14ac:dyDescent="0.3">
      <c r="A45" s="16" t="s">
        <v>113</v>
      </c>
      <c r="B45" s="34">
        <v>9182753.8181818184</v>
      </c>
      <c r="C45" s="34">
        <f>B45-B44</f>
        <v>2139715.3181818184</v>
      </c>
      <c r="D45" s="34">
        <v>662568.18181818165</v>
      </c>
      <c r="E45" s="38">
        <f>B45/5000000</f>
        <v>1.8365507636363636</v>
      </c>
      <c r="K45" s="5" t="s">
        <v>127</v>
      </c>
      <c r="L45" s="5" t="s">
        <v>104</v>
      </c>
    </row>
    <row r="46" spans="1:12" x14ac:dyDescent="0.3">
      <c r="A46" s="16" t="s">
        <v>114</v>
      </c>
      <c r="B46" s="34">
        <v>9845322</v>
      </c>
      <c r="C46" s="34">
        <f>B46-B45</f>
        <v>662568.18181818165</v>
      </c>
      <c r="D46" s="34">
        <v>0</v>
      </c>
      <c r="E46" s="38">
        <f>B46/6000000</f>
        <v>1.640887</v>
      </c>
      <c r="K46" s="5"/>
      <c r="L46" s="5"/>
    </row>
    <row r="47" spans="1:12" x14ac:dyDescent="0.3">
      <c r="A47" s="16"/>
      <c r="B47" s="40"/>
      <c r="C47" s="34"/>
      <c r="D47" s="34"/>
      <c r="E47" s="38"/>
      <c r="K47" s="36" t="s">
        <v>60</v>
      </c>
    </row>
    <row r="48" spans="1:12" x14ac:dyDescent="0.3">
      <c r="A48" s="16"/>
      <c r="B48" s="40"/>
      <c r="C48" s="34"/>
      <c r="D48" s="34"/>
      <c r="E48" s="38"/>
      <c r="K48" s="37" t="s">
        <v>61</v>
      </c>
    </row>
    <row r="49" spans="1:12" x14ac:dyDescent="0.3">
      <c r="A49" s="16"/>
      <c r="B49" s="40"/>
      <c r="C49" s="34"/>
      <c r="D49" s="34"/>
      <c r="E49" s="38"/>
      <c r="K49" s="37"/>
    </row>
    <row r="50" spans="1:12" x14ac:dyDescent="0.3">
      <c r="K50" s="37" t="s">
        <v>64</v>
      </c>
    </row>
    <row r="51" spans="1:12" x14ac:dyDescent="0.3">
      <c r="K51" s="37"/>
    </row>
    <row r="52" spans="1:12" x14ac:dyDescent="0.3">
      <c r="K52" s="37" t="s">
        <v>63</v>
      </c>
    </row>
    <row r="53" spans="1:12" x14ac:dyDescent="0.3">
      <c r="K53" s="37" t="s">
        <v>67</v>
      </c>
    </row>
    <row r="54" spans="1:12" x14ac:dyDescent="0.3">
      <c r="K54" s="37"/>
    </row>
    <row r="55" spans="1:12" x14ac:dyDescent="0.3">
      <c r="K55" s="37" t="s">
        <v>63</v>
      </c>
    </row>
    <row r="56" spans="1:12" x14ac:dyDescent="0.3">
      <c r="K56" s="37" t="s">
        <v>70</v>
      </c>
    </row>
    <row r="57" spans="1:12" x14ac:dyDescent="0.3">
      <c r="K57" s="5"/>
    </row>
    <row r="58" spans="1:12" x14ac:dyDescent="0.3">
      <c r="K58" s="5"/>
    </row>
    <row r="59" spans="1:12" x14ac:dyDescent="0.3">
      <c r="K59" s="5"/>
    </row>
    <row r="60" spans="1:12" x14ac:dyDescent="0.3">
      <c r="K60" s="5"/>
    </row>
    <row r="61" spans="1:12" x14ac:dyDescent="0.3">
      <c r="K61" s="5"/>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165E8-D20D-45EC-B618-821657169966}">
  <sheetPr>
    <tabColor theme="6" tint="0.79998168889431442"/>
  </sheetPr>
  <dimension ref="A1:P65"/>
  <sheetViews>
    <sheetView topLeftCell="A18" zoomScale="80" zoomScaleNormal="80" workbookViewId="0">
      <selection activeCell="A25" sqref="A25"/>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141</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134</v>
      </c>
      <c r="M7" s="5"/>
      <c r="N7" s="5"/>
      <c r="O7" s="5"/>
    </row>
    <row r="8" spans="1:16" x14ac:dyDescent="0.3">
      <c r="A8" s="7" t="s">
        <v>8</v>
      </c>
      <c r="B8" s="9">
        <v>1.7</v>
      </c>
      <c r="C8" s="9">
        <v>2.2000000000000002</v>
      </c>
      <c r="D8" s="9">
        <v>1.3</v>
      </c>
      <c r="E8" s="10">
        <v>3263445</v>
      </c>
      <c r="K8" s="16" t="s">
        <v>39</v>
      </c>
      <c r="L8" s="16" t="s">
        <v>135</v>
      </c>
      <c r="M8" s="5"/>
      <c r="N8" s="5"/>
      <c r="O8" s="5"/>
    </row>
    <row r="9" spans="1:16" x14ac:dyDescent="0.3">
      <c r="A9" s="7" t="s">
        <v>9</v>
      </c>
      <c r="B9" s="9">
        <v>1.5</v>
      </c>
      <c r="C9" s="9">
        <v>2</v>
      </c>
      <c r="D9" s="9">
        <v>1.2</v>
      </c>
      <c r="E9" s="10">
        <v>1265415</v>
      </c>
      <c r="K9" s="16" t="s">
        <v>91</v>
      </c>
      <c r="L9" s="32" t="s">
        <v>136</v>
      </c>
      <c r="M9" s="5"/>
      <c r="N9" s="5"/>
      <c r="O9" s="5"/>
    </row>
    <row r="10" spans="1:16" x14ac:dyDescent="0.3">
      <c r="A10" s="5"/>
      <c r="B10" s="5"/>
      <c r="C10" s="5"/>
      <c r="D10" s="29" t="s">
        <v>72</v>
      </c>
      <c r="E10" s="27">
        <f>SUM(E7:E9)</f>
        <v>9845322</v>
      </c>
      <c r="K10" s="16" t="s">
        <v>41</v>
      </c>
      <c r="L10" s="32" t="s">
        <v>137</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138</v>
      </c>
      <c r="L12" s="32">
        <v>5500000</v>
      </c>
      <c r="M12" s="5"/>
      <c r="N12" s="5"/>
      <c r="O12" s="5"/>
    </row>
    <row r="13" spans="1:16" x14ac:dyDescent="0.3">
      <c r="A13" s="6" t="s">
        <v>2</v>
      </c>
      <c r="B13" s="6" t="s">
        <v>11</v>
      </c>
      <c r="C13" s="6" t="s">
        <v>12</v>
      </c>
      <c r="D13" s="6" t="s">
        <v>13</v>
      </c>
      <c r="E13" s="6" t="s">
        <v>14</v>
      </c>
      <c r="K13" s="16" t="s">
        <v>97</v>
      </c>
      <c r="L13" s="32" t="s">
        <v>96</v>
      </c>
      <c r="M13" s="5"/>
      <c r="N13" s="5"/>
      <c r="O13" s="5"/>
    </row>
    <row r="14" spans="1:16" x14ac:dyDescent="0.3">
      <c r="A14" s="7" t="s">
        <v>7</v>
      </c>
      <c r="B14" s="10">
        <v>2658231</v>
      </c>
      <c r="C14" s="10">
        <v>0</v>
      </c>
      <c r="D14" s="10">
        <v>0</v>
      </c>
      <c r="E14" s="10">
        <f>SUM(B14:D14)</f>
        <v>2658231</v>
      </c>
      <c r="K14" s="35" t="s">
        <v>121</v>
      </c>
      <c r="L14" s="35" t="s">
        <v>96</v>
      </c>
      <c r="M14" s="19"/>
      <c r="N14" s="5"/>
      <c r="O14" s="5"/>
    </row>
    <row r="15" spans="1:16" x14ac:dyDescent="0.3">
      <c r="A15" s="7" t="s">
        <v>8</v>
      </c>
      <c r="B15" s="10">
        <v>1919673.5294117648</v>
      </c>
      <c r="C15" s="10">
        <v>0</v>
      </c>
      <c r="D15" s="10">
        <v>0</v>
      </c>
      <c r="E15" s="10">
        <f>SUM(B15:D15)</f>
        <v>1919673.5294117648</v>
      </c>
      <c r="K15" s="5" t="s">
        <v>45</v>
      </c>
      <c r="L15" s="34">
        <v>9845322</v>
      </c>
      <c r="M15" s="5"/>
      <c r="N15" s="5"/>
      <c r="O15" s="5"/>
    </row>
    <row r="16" spans="1:16" x14ac:dyDescent="0.3">
      <c r="A16" s="7" t="s">
        <v>9</v>
      </c>
      <c r="B16" s="10">
        <v>843610</v>
      </c>
      <c r="C16" s="10">
        <v>0</v>
      </c>
      <c r="D16" s="10">
        <v>0</v>
      </c>
      <c r="E16" s="10">
        <f>SUM(B16:D16)</f>
        <v>843610</v>
      </c>
      <c r="K16" s="5" t="s">
        <v>46</v>
      </c>
      <c r="L16" s="34">
        <v>0</v>
      </c>
      <c r="M16" s="5"/>
      <c r="N16" s="5"/>
      <c r="O16" s="5"/>
    </row>
    <row r="17" spans="1:15" x14ac:dyDescent="0.3">
      <c r="A17" s="8" t="s">
        <v>15</v>
      </c>
      <c r="B17" s="11">
        <f>SUM(B14:B16)</f>
        <v>5421514.5294117648</v>
      </c>
      <c r="C17" s="11">
        <f>SUM(C14:C16)</f>
        <v>0</v>
      </c>
      <c r="D17" s="11">
        <f>SUM(D14:D16)</f>
        <v>0</v>
      </c>
      <c r="E17" s="11">
        <f>SUM(E14:E16)</f>
        <v>5421514.5294117648</v>
      </c>
      <c r="K17" s="5" t="s">
        <v>122</v>
      </c>
      <c r="L17" s="5" t="s">
        <v>139</v>
      </c>
      <c r="M17" s="5"/>
      <c r="N17" s="5"/>
      <c r="O17" s="5"/>
    </row>
    <row r="18" spans="1:15" x14ac:dyDescent="0.3">
      <c r="A18" s="5"/>
      <c r="B18" s="5"/>
      <c r="C18" s="5"/>
      <c r="D18" s="5"/>
      <c r="E18" s="5"/>
      <c r="K18" s="25" t="s">
        <v>47</v>
      </c>
      <c r="L18" s="25" t="s">
        <v>140</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5316462</v>
      </c>
      <c r="C22" s="10">
        <f t="shared" si="0"/>
        <v>0</v>
      </c>
      <c r="D22" s="10">
        <f t="shared" si="0"/>
        <v>0</v>
      </c>
      <c r="E22" s="10">
        <f>SUM(B22:D22)</f>
        <v>5316462</v>
      </c>
      <c r="K22" s="16" t="s">
        <v>7</v>
      </c>
      <c r="L22" s="21">
        <v>2658231</v>
      </c>
      <c r="M22" s="21">
        <v>0</v>
      </c>
      <c r="N22" s="21">
        <v>0</v>
      </c>
      <c r="O22" s="21">
        <v>2658231</v>
      </c>
    </row>
    <row r="23" spans="1:15" x14ac:dyDescent="0.3">
      <c r="A23" s="7" t="s">
        <v>8</v>
      </c>
      <c r="B23" s="10">
        <f t="shared" si="0"/>
        <v>3263445</v>
      </c>
      <c r="C23" s="10">
        <f t="shared" si="0"/>
        <v>0</v>
      </c>
      <c r="D23" s="10">
        <f t="shared" si="0"/>
        <v>0</v>
      </c>
      <c r="E23" s="10">
        <f>SUM(B23:D23)</f>
        <v>3263445</v>
      </c>
      <c r="K23" s="16" t="s">
        <v>8</v>
      </c>
      <c r="L23" s="21">
        <v>1919674</v>
      </c>
      <c r="M23" s="21">
        <v>0</v>
      </c>
      <c r="N23" s="21">
        <v>0</v>
      </c>
      <c r="O23" s="21">
        <v>1919674</v>
      </c>
    </row>
    <row r="24" spans="1:15" x14ac:dyDescent="0.3">
      <c r="A24" s="7" t="s">
        <v>9</v>
      </c>
      <c r="B24" s="10">
        <f t="shared" si="0"/>
        <v>1265415</v>
      </c>
      <c r="C24" s="10">
        <f t="shared" si="0"/>
        <v>0</v>
      </c>
      <c r="D24" s="10">
        <f t="shared" si="0"/>
        <v>0</v>
      </c>
      <c r="E24" s="10">
        <f>SUM(B24:D24)</f>
        <v>1265415</v>
      </c>
      <c r="K24" s="16" t="s">
        <v>9</v>
      </c>
      <c r="L24" s="21">
        <v>843610</v>
      </c>
      <c r="M24" s="21">
        <v>0</v>
      </c>
      <c r="N24" s="21">
        <v>0</v>
      </c>
      <c r="O24" s="21">
        <v>843610</v>
      </c>
    </row>
    <row r="25" spans="1:15" x14ac:dyDescent="0.3">
      <c r="A25" s="8" t="s">
        <v>21</v>
      </c>
      <c r="B25" s="11">
        <f>SUM(B22:B24)</f>
        <v>9845322</v>
      </c>
      <c r="C25" s="11">
        <f>SUM(C22:C24)</f>
        <v>0</v>
      </c>
      <c r="D25" s="11">
        <f>SUM(D22:D24)</f>
        <v>0</v>
      </c>
      <c r="E25" s="11">
        <f>SUM(E22:E24)</f>
        <v>9845322</v>
      </c>
      <c r="K25" s="16" t="s">
        <v>15</v>
      </c>
      <c r="L25" s="21">
        <v>5421515</v>
      </c>
      <c r="M25" s="21">
        <v>0</v>
      </c>
      <c r="N25" s="21">
        <v>0</v>
      </c>
      <c r="O25" s="21">
        <v>5421515</v>
      </c>
    </row>
    <row r="26" spans="1:15" x14ac:dyDescent="0.3">
      <c r="A26" s="5"/>
      <c r="B26" s="5"/>
      <c r="C26" s="5"/>
      <c r="D26" s="5"/>
      <c r="E26" s="5"/>
    </row>
    <row r="27" spans="1:15" x14ac:dyDescent="0.3">
      <c r="A27" s="5"/>
      <c r="B27" s="5"/>
      <c r="C27" s="5"/>
      <c r="D27" s="29" t="s">
        <v>73</v>
      </c>
      <c r="E27" s="27">
        <f>E10-E25</f>
        <v>0</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5316462</v>
      </c>
      <c r="M29" s="21">
        <v>0</v>
      </c>
      <c r="N29" s="21">
        <v>0</v>
      </c>
      <c r="O29" s="21">
        <v>5316462</v>
      </c>
    </row>
    <row r="30" spans="1:15" x14ac:dyDescent="0.3">
      <c r="A30" s="7" t="s">
        <v>26</v>
      </c>
      <c r="B30" s="10">
        <f>B17</f>
        <v>5421514.5294117648</v>
      </c>
      <c r="C30" s="39">
        <v>5500000</v>
      </c>
      <c r="D30" s="5"/>
      <c r="E30" s="5"/>
      <c r="K30" s="16" t="s">
        <v>8</v>
      </c>
      <c r="L30" s="21">
        <v>3263445</v>
      </c>
      <c r="M30" s="21">
        <v>0</v>
      </c>
      <c r="N30" s="21">
        <v>0</v>
      </c>
      <c r="O30" s="21">
        <v>3263445</v>
      </c>
    </row>
    <row r="31" spans="1:15" x14ac:dyDescent="0.3">
      <c r="A31" s="7" t="s">
        <v>27</v>
      </c>
      <c r="B31" s="10">
        <f>C17</f>
        <v>0</v>
      </c>
      <c r="C31" s="10">
        <v>0</v>
      </c>
      <c r="D31" s="5"/>
      <c r="E31" s="5"/>
      <c r="K31" s="16" t="s">
        <v>9</v>
      </c>
      <c r="L31" s="21">
        <v>1265415</v>
      </c>
      <c r="M31" s="21">
        <v>0</v>
      </c>
      <c r="N31" s="21">
        <v>0</v>
      </c>
      <c r="O31" s="21">
        <v>1265415</v>
      </c>
    </row>
    <row r="32" spans="1:15" x14ac:dyDescent="0.3">
      <c r="A32" s="7" t="s">
        <v>28</v>
      </c>
      <c r="B32" s="10">
        <f>D17</f>
        <v>0</v>
      </c>
      <c r="C32" s="31">
        <v>0</v>
      </c>
      <c r="D32" s="5"/>
      <c r="E32" s="5"/>
      <c r="K32" s="16" t="s">
        <v>15</v>
      </c>
      <c r="L32" s="21">
        <v>9845322</v>
      </c>
      <c r="M32" s="21">
        <v>0</v>
      </c>
      <c r="N32" s="21">
        <v>0</v>
      </c>
      <c r="O32" s="21">
        <v>9845322</v>
      </c>
    </row>
    <row r="33" spans="1:12" x14ac:dyDescent="0.3">
      <c r="A33" s="7" t="s">
        <v>29</v>
      </c>
      <c r="B33" s="10">
        <f>E17</f>
        <v>5421514.5294117648</v>
      </c>
      <c r="C33" s="10">
        <f>SUM(C30:C32)</f>
        <v>5500000</v>
      </c>
      <c r="D33" s="5"/>
      <c r="E33" s="5"/>
    </row>
    <row r="34" spans="1:12" x14ac:dyDescent="0.3">
      <c r="A34" s="7" t="s">
        <v>30</v>
      </c>
      <c r="B34" s="30">
        <f>E22</f>
        <v>5316462</v>
      </c>
      <c r="C34" s="10">
        <v>5316462</v>
      </c>
      <c r="D34" s="5"/>
      <c r="E34" s="5"/>
      <c r="K34" s="26" t="s">
        <v>35</v>
      </c>
    </row>
    <row r="35" spans="1:12" x14ac:dyDescent="0.3">
      <c r="A35" s="7" t="s">
        <v>31</v>
      </c>
      <c r="B35" s="30">
        <f>E23</f>
        <v>3263445</v>
      </c>
      <c r="C35" s="10">
        <v>3263445</v>
      </c>
      <c r="D35" s="5"/>
      <c r="E35" s="5"/>
      <c r="K35" s="18" t="s">
        <v>23</v>
      </c>
      <c r="L35" s="18" t="s">
        <v>53</v>
      </c>
    </row>
    <row r="36" spans="1:12" x14ac:dyDescent="0.3">
      <c r="A36" s="7" t="s">
        <v>32</v>
      </c>
      <c r="B36" s="30">
        <f>E24</f>
        <v>1265415</v>
      </c>
      <c r="C36" s="10">
        <v>1265415</v>
      </c>
      <c r="D36" s="5"/>
      <c r="E36" s="5"/>
      <c r="K36" s="16" t="s">
        <v>142</v>
      </c>
      <c r="L36" s="16" t="s">
        <v>143</v>
      </c>
    </row>
    <row r="37" spans="1:12" x14ac:dyDescent="0.3">
      <c r="A37" s="5"/>
      <c r="B37" s="5"/>
      <c r="C37" s="5"/>
      <c r="D37" s="5"/>
      <c r="E37" s="5"/>
      <c r="K37" s="16" t="s">
        <v>29</v>
      </c>
      <c r="L37" s="16" t="s">
        <v>143</v>
      </c>
    </row>
    <row r="38" spans="1:12" x14ac:dyDescent="0.3">
      <c r="K38" s="16" t="s">
        <v>58</v>
      </c>
      <c r="L38" s="16" t="s">
        <v>59</v>
      </c>
    </row>
    <row r="39" spans="1:12" x14ac:dyDescent="0.3">
      <c r="A39" s="13"/>
      <c r="B39" s="13"/>
      <c r="K39" s="2" t="s">
        <v>83</v>
      </c>
      <c r="L39" s="2" t="s">
        <v>59</v>
      </c>
    </row>
    <row r="40" spans="1:12" x14ac:dyDescent="0.3">
      <c r="A40" s="14"/>
      <c r="B40" s="12"/>
      <c r="K40" s="2" t="s">
        <v>84</v>
      </c>
      <c r="L40" s="2" t="s">
        <v>59</v>
      </c>
    </row>
    <row r="41" spans="1:12" x14ac:dyDescent="0.3">
      <c r="A41" s="16" t="s">
        <v>109</v>
      </c>
      <c r="B41" s="5" t="s">
        <v>20</v>
      </c>
      <c r="C41" s="5" t="s">
        <v>107</v>
      </c>
      <c r="D41" s="5" t="s">
        <v>115</v>
      </c>
      <c r="E41" s="5" t="s">
        <v>108</v>
      </c>
    </row>
    <row r="42" spans="1:12" x14ac:dyDescent="0.3">
      <c r="A42" s="16" t="s">
        <v>129</v>
      </c>
      <c r="B42" s="34">
        <v>2000000</v>
      </c>
      <c r="C42" s="34">
        <v>2000000</v>
      </c>
      <c r="D42" s="34">
        <v>7845322</v>
      </c>
      <c r="E42" s="38">
        <f>B42/1000000</f>
        <v>2</v>
      </c>
      <c r="K42" s="25" t="s">
        <v>86</v>
      </c>
    </row>
    <row r="43" spans="1:12" x14ac:dyDescent="0.3">
      <c r="A43" s="16" t="s">
        <v>130</v>
      </c>
      <c r="B43" s="34">
        <v>4000000</v>
      </c>
      <c r="C43" s="34">
        <f>B43-B42</f>
        <v>2000000</v>
      </c>
      <c r="D43" s="34">
        <v>5845322</v>
      </c>
      <c r="E43" s="38">
        <f>B43/2000000</f>
        <v>2</v>
      </c>
      <c r="K43" s="25" t="s">
        <v>23</v>
      </c>
      <c r="L43" s="25" t="s">
        <v>53</v>
      </c>
    </row>
    <row r="44" spans="1:12" x14ac:dyDescent="0.3">
      <c r="A44" s="16" t="s">
        <v>131</v>
      </c>
      <c r="B44" s="34">
        <v>5897469.2999999998</v>
      </c>
      <c r="C44" s="34">
        <f>B44-B43</f>
        <v>1897469.2999999998</v>
      </c>
      <c r="D44" s="34">
        <v>3947852.7</v>
      </c>
      <c r="E44" s="38">
        <f>B44/3000000</f>
        <v>1.9658230999999999</v>
      </c>
      <c r="K44" s="5" t="s">
        <v>105</v>
      </c>
      <c r="L44" s="5" t="s">
        <v>104</v>
      </c>
    </row>
    <row r="45" spans="1:12" x14ac:dyDescent="0.3">
      <c r="A45" s="16" t="s">
        <v>133</v>
      </c>
      <c r="B45" s="34">
        <v>7597469.2999999998</v>
      </c>
      <c r="C45" s="34">
        <f>B45-B44</f>
        <v>1700000</v>
      </c>
      <c r="D45" s="34">
        <v>2247852.7000000002</v>
      </c>
      <c r="E45" s="38">
        <f>B45/5000000</f>
        <v>1.5194938599999999</v>
      </c>
      <c r="K45" s="5" t="s">
        <v>127</v>
      </c>
      <c r="L45" s="5" t="s">
        <v>104</v>
      </c>
    </row>
    <row r="46" spans="1:12" x14ac:dyDescent="0.3">
      <c r="A46" s="16" t="s">
        <v>132</v>
      </c>
      <c r="B46" s="34">
        <v>9213050.2058823518</v>
      </c>
      <c r="C46" s="34">
        <f>B46-B45</f>
        <v>1615580.905882352</v>
      </c>
      <c r="D46" s="34">
        <v>632271.79411764815</v>
      </c>
      <c r="E46" s="38">
        <f>B46/6000000</f>
        <v>1.5355083676470587</v>
      </c>
      <c r="K46" s="5" t="s">
        <v>144</v>
      </c>
      <c r="L46" s="5" t="s">
        <v>145</v>
      </c>
    </row>
    <row r="47" spans="1:12" x14ac:dyDescent="0.3">
      <c r="A47" s="16"/>
      <c r="B47" s="40"/>
      <c r="C47" s="34"/>
      <c r="D47" s="34"/>
      <c r="E47" s="38"/>
      <c r="K47" s="5"/>
      <c r="L47" s="5"/>
    </row>
    <row r="48" spans="1:12" x14ac:dyDescent="0.3">
      <c r="A48" s="16"/>
      <c r="B48" s="40"/>
      <c r="C48" s="34"/>
      <c r="D48" s="34"/>
      <c r="E48" s="38"/>
      <c r="K48" s="36" t="s">
        <v>60</v>
      </c>
    </row>
    <row r="49" spans="1:12" x14ac:dyDescent="0.3">
      <c r="A49" s="16"/>
      <c r="B49" s="40"/>
      <c r="C49" s="34"/>
      <c r="D49" s="34"/>
      <c r="E49" s="38"/>
      <c r="K49" s="37" t="s">
        <v>61</v>
      </c>
    </row>
    <row r="50" spans="1:12" x14ac:dyDescent="0.3">
      <c r="K50" s="37"/>
    </row>
    <row r="51" spans="1:12" x14ac:dyDescent="0.3">
      <c r="K51" s="37" t="s">
        <v>62</v>
      </c>
    </row>
    <row r="52" spans="1:12" x14ac:dyDescent="0.3">
      <c r="K52" s="37"/>
    </row>
    <row r="53" spans="1:12" x14ac:dyDescent="0.3">
      <c r="K53" s="37" t="s">
        <v>63</v>
      </c>
    </row>
    <row r="54" spans="1:12" x14ac:dyDescent="0.3">
      <c r="K54" s="37" t="s">
        <v>66</v>
      </c>
    </row>
    <row r="55" spans="1:12" x14ac:dyDescent="0.3">
      <c r="K55" s="37"/>
    </row>
    <row r="56" spans="1:12" x14ac:dyDescent="0.3">
      <c r="K56" s="37" t="s">
        <v>63</v>
      </c>
    </row>
    <row r="57" spans="1:12" x14ac:dyDescent="0.3">
      <c r="K57" s="37" t="s">
        <v>69</v>
      </c>
    </row>
    <row r="58" spans="1:12" x14ac:dyDescent="0.3">
      <c r="K58" s="5" t="s">
        <v>146</v>
      </c>
    </row>
    <row r="59" spans="1:12" x14ac:dyDescent="0.3">
      <c r="K59" s="37" t="s">
        <v>147</v>
      </c>
    </row>
    <row r="60" spans="1:12" x14ac:dyDescent="0.3">
      <c r="K60" s="37" t="s">
        <v>148</v>
      </c>
    </row>
    <row r="61" spans="1:12" x14ac:dyDescent="0.3">
      <c r="K61" s="37" t="s">
        <v>149</v>
      </c>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CRR_LP_Optimization-Initial</vt:lpstr>
      <vt:lpstr>LP_Scenario1</vt:lpstr>
      <vt:lpstr>LP-Scenario2</vt:lpstr>
      <vt:lpstr>LP-Scenario2-QualifiedPipe</vt:lpstr>
      <vt:lpstr>LP-Scenario2-QualPipe-Scenarios</vt:lpstr>
      <vt:lpstr>LP-Scenario3</vt:lpstr>
      <vt:lpstr>LP-Scenario4</vt:lpstr>
      <vt:lpstr>LP-Scenario5</vt:lpstr>
      <vt:lpstr>LP-Scenario6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Anil Jacob</cp:lastModifiedBy>
  <dcterms:created xsi:type="dcterms:W3CDTF">2026-05-14T12:49:20Z</dcterms:created>
  <dcterms:modified xsi:type="dcterms:W3CDTF">2026-05-29T09:07:40Z</dcterms:modified>
</cp:coreProperties>
</file>