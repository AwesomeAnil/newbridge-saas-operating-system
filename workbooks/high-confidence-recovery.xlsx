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il\GitHub\newbridge-saas-operating-system\workbooks\"/>
    </mc:Choice>
  </mc:AlternateContent>
  <xr:revisionPtr revIDLastSave="0" documentId="13_ncr:1_{F5F1A79C-034D-46F2-8B21-CA1B31923F81}" xr6:coauthVersionLast="47" xr6:coauthVersionMax="47" xr10:uidLastSave="{00000000-0000-0000-0000-000000000000}"/>
  <bookViews>
    <workbookView xWindow="75" yWindow="0" windowWidth="20370" windowHeight="15480" activeTab="1" xr2:uid="{E93CEB74-9002-4B77-A4DA-58E626EA608A}"/>
  </bookViews>
  <sheets>
    <sheet name="LP-Scenario8" sheetId="1" r:id="rId1"/>
    <sheet name="LP-Scenario9A" sheetId="2" r:id="rId2"/>
  </sheets>
  <definedNames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'LP-Scenario8'!$B$57</definedName>
    <definedName name="solver_lhs1" localSheetId="1" hidden="1">'LP-Scenario9A'!$B$51</definedName>
    <definedName name="solver_lhs10" localSheetId="0" hidden="1">'LP-Scenario8'!$B$57</definedName>
    <definedName name="solver_lhs10" localSheetId="1" hidden="1">'LP-Scenario9A'!$B$57</definedName>
    <definedName name="solver_lhs11" localSheetId="0" hidden="1">'LP-Scenario8'!$B$57</definedName>
    <definedName name="solver_lhs11" localSheetId="1" hidden="1">'LP-Scenario9A'!$B$57</definedName>
    <definedName name="solver_lhs12" localSheetId="0" hidden="1">'LP-Scenario8'!$B$57</definedName>
    <definedName name="solver_lhs12" localSheetId="1" hidden="1">'LP-Scenario9A'!$B$57</definedName>
    <definedName name="solver_lhs2" localSheetId="0" hidden="1">'LP-Scenario8'!$B$53</definedName>
    <definedName name="solver_lhs2" localSheetId="1" hidden="1">'LP-Scenario9A'!$B$53</definedName>
    <definedName name="solver_lhs3" localSheetId="0" hidden="1">'LP-Scenario8'!$B$54</definedName>
    <definedName name="solver_lhs3" localSheetId="1" hidden="1">'LP-Scenario9A'!$B$54</definedName>
    <definedName name="solver_lhs4" localSheetId="0" hidden="1">'LP-Scenario8'!$B$55</definedName>
    <definedName name="solver_lhs4" localSheetId="1" hidden="1">'LP-Scenario9A'!$B$57</definedName>
    <definedName name="solver_lhs5" localSheetId="0" hidden="1">'LP-Scenario8'!$B$56</definedName>
    <definedName name="solver_lhs5" localSheetId="1" hidden="1">'LP-Scenario9A'!$B$57</definedName>
    <definedName name="solver_lhs6" localSheetId="0" hidden="1">'LP-Scenario8'!$B$57</definedName>
    <definedName name="solver_lhs6" localSheetId="1" hidden="1">'LP-Scenario9A'!$B$57</definedName>
    <definedName name="solver_lhs7" localSheetId="0" hidden="1">'LP-Scenario8'!$B$57</definedName>
    <definedName name="solver_lhs7" localSheetId="1" hidden="1">'LP-Scenario9A'!$B$57</definedName>
    <definedName name="solver_lhs8" localSheetId="0" hidden="1">'LP-Scenario8'!$B$57</definedName>
    <definedName name="solver_lhs8" localSheetId="1" hidden="1">'LP-Scenario9A'!$B$57</definedName>
    <definedName name="solver_lhs9" localSheetId="0" hidden="1">'LP-Scenario8'!$B$57</definedName>
    <definedName name="solver_lhs9" localSheetId="1" hidden="1">'LP-Scenario9A'!$B$57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10" localSheetId="0" hidden="1">1</definedName>
    <definedName name="solver_rel10" localSheetId="1" hidden="1">1</definedName>
    <definedName name="solver_rel11" localSheetId="0" hidden="1">1</definedName>
    <definedName name="solver_rel11" localSheetId="1" hidden="1">1</definedName>
    <definedName name="solver_rel12" localSheetId="0" hidden="1">1</definedName>
    <definedName name="solver_rel12" localSheetId="1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el7" localSheetId="0" hidden="1">1</definedName>
    <definedName name="solver_rel7" localSheetId="1" hidden="1">1</definedName>
    <definedName name="solver_rel8" localSheetId="0" hidden="1">1</definedName>
    <definedName name="solver_rel8" localSheetId="1" hidden="1">1</definedName>
    <definedName name="solver_rel9" localSheetId="0" hidden="1">1</definedName>
    <definedName name="solver_rel9" localSheetId="1" hidden="1">1</definedName>
    <definedName name="solver_rhs1" localSheetId="0" hidden="1">'LP-Scenario8'!$C$57</definedName>
    <definedName name="solver_rhs1" localSheetId="1" hidden="1">'LP-Scenario9A'!$C$51</definedName>
    <definedName name="solver_rhs10" localSheetId="0" hidden="1">'LP-Scenario8'!$C$57</definedName>
    <definedName name="solver_rhs10" localSheetId="1" hidden="1">'LP-Scenario9A'!$C$57</definedName>
    <definedName name="solver_rhs11" localSheetId="0" hidden="1">'LP-Scenario8'!$C$57</definedName>
    <definedName name="solver_rhs11" localSheetId="1" hidden="1">'LP-Scenario9A'!$C$57</definedName>
    <definedName name="solver_rhs12" localSheetId="0" hidden="1">'LP-Scenario8'!$C$57</definedName>
    <definedName name="solver_rhs12" localSheetId="1" hidden="1">'LP-Scenario9A'!$C$57</definedName>
    <definedName name="solver_rhs2" localSheetId="0" hidden="1">'LP-Scenario8'!$C$53</definedName>
    <definedName name="solver_rhs2" localSheetId="1" hidden="1">'LP-Scenario9A'!$C$53</definedName>
    <definedName name="solver_rhs3" localSheetId="0" hidden="1">'LP-Scenario8'!$C$54</definedName>
    <definedName name="solver_rhs3" localSheetId="1" hidden="1">'LP-Scenario9A'!$C$54</definedName>
    <definedName name="solver_rhs4" localSheetId="0" hidden="1">'LP-Scenario8'!$C$55</definedName>
    <definedName name="solver_rhs4" localSheetId="1" hidden="1">'LP-Scenario9A'!$C$57</definedName>
    <definedName name="solver_rhs5" localSheetId="0" hidden="1">'LP-Scenario8'!$C$56</definedName>
    <definedName name="solver_rhs5" localSheetId="1" hidden="1">'LP-Scenario9A'!$C$57</definedName>
    <definedName name="solver_rhs6" localSheetId="0" hidden="1">'LP-Scenario8'!$C$57</definedName>
    <definedName name="solver_rhs6" localSheetId="1" hidden="1">'LP-Scenario9A'!$C$57</definedName>
    <definedName name="solver_rhs7" localSheetId="0" hidden="1">'LP-Scenario8'!$C$57</definedName>
    <definedName name="solver_rhs7" localSheetId="1" hidden="1">'LP-Scenario9A'!$C$57</definedName>
    <definedName name="solver_rhs8" localSheetId="0" hidden="1">'LP-Scenario8'!$C$57</definedName>
    <definedName name="solver_rhs8" localSheetId="1" hidden="1">'LP-Scenario9A'!$C$57</definedName>
    <definedName name="solver_rhs9" localSheetId="0" hidden="1">'LP-Scenario8'!$C$57</definedName>
    <definedName name="solver_rhs9" localSheetId="1" hidden="1">'LP-Scenario9A'!$C$57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4" i="2" l="1"/>
  <c r="C64" i="2"/>
  <c r="E65" i="2"/>
  <c r="C65" i="2"/>
  <c r="E63" i="2"/>
  <c r="C63" i="2"/>
  <c r="E62" i="2"/>
  <c r="C62" i="2"/>
  <c r="E61" i="2"/>
  <c r="C61" i="2"/>
  <c r="C49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28" i="2"/>
  <c r="C28" i="2"/>
  <c r="B28" i="2"/>
  <c r="E27" i="2"/>
  <c r="E26" i="2"/>
  <c r="E25" i="2"/>
  <c r="E24" i="2"/>
  <c r="E23" i="2"/>
  <c r="E22" i="2"/>
  <c r="E21" i="2"/>
  <c r="E20" i="2"/>
  <c r="E15" i="2"/>
  <c r="D61" i="1"/>
  <c r="C61" i="1"/>
  <c r="D28" i="1"/>
  <c r="C28" i="1"/>
  <c r="B28" i="1"/>
  <c r="D40" i="1"/>
  <c r="C40" i="1"/>
  <c r="B40" i="1"/>
  <c r="D39" i="1"/>
  <c r="C39" i="1"/>
  <c r="B39" i="1"/>
  <c r="E27" i="1"/>
  <c r="E26" i="1"/>
  <c r="E15" i="1"/>
  <c r="C4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E25" i="1"/>
  <c r="E24" i="1"/>
  <c r="E23" i="1"/>
  <c r="E22" i="1"/>
  <c r="E21" i="1"/>
  <c r="E20" i="1"/>
  <c r="D41" i="2" l="1"/>
  <c r="B48" i="2"/>
  <c r="B47" i="2"/>
  <c r="B46" i="2"/>
  <c r="B41" i="2"/>
  <c r="E37" i="2"/>
  <c r="B54" i="2" s="1"/>
  <c r="E34" i="2"/>
  <c r="B51" i="2" s="1"/>
  <c r="E33" i="2"/>
  <c r="E28" i="2"/>
  <c r="B49" i="2" s="1"/>
  <c r="C41" i="2"/>
  <c r="E40" i="2"/>
  <c r="B57" i="2" s="1"/>
  <c r="E39" i="2"/>
  <c r="B56" i="2" s="1"/>
  <c r="E38" i="2"/>
  <c r="B55" i="2" s="1"/>
  <c r="E36" i="2"/>
  <c r="B53" i="2" s="1"/>
  <c r="E35" i="2"/>
  <c r="B52" i="2" s="1"/>
  <c r="E28" i="1"/>
  <c r="E40" i="1"/>
  <c r="E39" i="1"/>
  <c r="C41" i="1"/>
  <c r="E38" i="1"/>
  <c r="E34" i="1"/>
  <c r="D41" i="1"/>
  <c r="E36" i="1"/>
  <c r="E37" i="1"/>
  <c r="E35" i="1"/>
  <c r="E33" i="1"/>
  <c r="B41" i="1"/>
  <c r="B46" i="1"/>
  <c r="B47" i="1"/>
  <c r="B48" i="1"/>
  <c r="E41" i="2" l="1"/>
  <c r="B50" i="2"/>
  <c r="B55" i="1"/>
  <c r="B50" i="1"/>
  <c r="B56" i="1"/>
  <c r="B57" i="1"/>
  <c r="B53" i="1"/>
  <c r="E41" i="1"/>
  <c r="B49" i="1"/>
  <c r="B52" i="1"/>
  <c r="B51" i="1"/>
  <c r="B54" i="1"/>
  <c r="E43" i="2" l="1"/>
  <c r="E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 Jacob</author>
  </authors>
  <commentList>
    <comment ref="K6" authorId="0" shapeId="0" xr:uid="{0C32E30A-B184-45FB-8B11-709C8CF383F4}">
      <text>
        <r>
          <rPr>
            <b/>
            <sz val="9"/>
            <color indexed="81"/>
            <rFont val="Tahoma"/>
            <family val="2"/>
          </rPr>
          <t>Anil Jacob:</t>
        </r>
        <r>
          <rPr>
            <sz val="9"/>
            <color indexed="81"/>
            <rFont val="Tahoma"/>
            <family val="2"/>
          </rPr>
          <t xml:space="preserve">
| #  | Inference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| 1  | Solver immediately concentrated all available enterprise CRR capital into NA_West and NA_East, mathematically proving these geographies represented the highest recoverable enterprise value under severe downside stress.                                                                                    |
| 2  | All three CRR pools — RAF, Renewals and Discounts — were completely exhausted, indicating that the enterprise had entered a true capital scarcity environment.                                                                                                                                                |
| 3  | NA_West became the single most strategically protected geography due to its exceptionally strong RAF scalability economics and large recoverable forecast exposure.                                                                                                                                           |
| 4  | NA_East was primarily optimized through Renewals because installed-base acceleration produced the strongest available marginal uplift efficiency after NA_West RAF saturation.                                                                                                                                |
| 5  | Discounts appeared for the first time as a fully exhausted constraint, demonstrating that severe downside conditions eventually force the organization into tactical pricing concessions once higher-quality recovery levers saturate.                                                                        |
| 6  | Solver completely abandoned DACH, UKI, India, ANZ, Brazil and Middle East because scarce enterprise CRR capital generated materially stronger recovery economics in the two largest North American regions.                                                                                                   |
| 7  | The optimization model mathematically demonstrated enterprise capital triage behavior under severe stress conditions, prioritizing maximum recoverable forecast value rather than geographically balanced recovery.                                                                                           |
| 8  | Approximately 70% of the total enterprise downside was recoverable under the modeled CRR constraints, leaving ~10.3M of structurally unrecoverable forecast deterioration.                                                                                                                                    |
| 9  | The severe downside scenario fundamentally shifted the optimization objective from complete recovery toward survivability-oriented portfolio prioritization.                                                                                                                                                  |
| 10 | The optimization framework successfully exposed the economic recovery frontier of the enterprise under constrained stress capital conditions.                                                                                                                                                                 |
| 11 | Scenario 8 demonstrates that severe forecast deterioration eventually forces economically rational abandonment of lower-efficiency geographies in favor of protecting the highest-value recoverable revenue pools.                                                                                            |
| 12 | Unlike earlier moderate downside scenarios, the severe stress model introduced genuine opportunity-cost competition between geographies, creating true enterprise capital allocation tradeoffs.                                                                                                               |
| 13 | The appearance of discount utilization in Scenario 8 confirms that discounts behave as tactical overflow recovery mechanisms activated only after Renewals and RAF capacity become fully saturated.                                                                                                           |
| 14 | Important Lesson: Linear Programming revealed that under severe enterprise stress conditions, optimal CRR deployment transitions from balanced portfolio recovery into concentrated survivability-based capital triage focused on maximizing recoverable enterprise value under extreme scarcity constraints. |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 Jacob</author>
  </authors>
  <commentList>
    <comment ref="K6" authorId="0" shapeId="0" xr:uid="{97102A84-721A-4B15-A715-5B8DB509EB09}">
      <text>
        <r>
          <rPr>
            <b/>
            <sz val="9"/>
            <color indexed="81"/>
            <rFont val="Tahoma"/>
            <family val="2"/>
          </rPr>
          <t>Anil Jacob:</t>
        </r>
        <r>
          <rPr>
            <sz val="9"/>
            <color indexed="81"/>
            <rFont val="Tahoma"/>
            <family val="2"/>
          </rPr>
          <t xml:space="preserve">
| #  | Inference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| 1  | Scenario S9C represents the enterprise recovery frontier where complete global forecast recovery was mathematically achieved under severe downside stress conditions without requiring excessive discount-led mitigation.                                                                                               |
| 2  | Solver successfully restored the entire 34.76M forecast gap using ~18M of CRR, generating an enterprise-wide recovery multiple of ~1.93x despite operating under severe stress conditions.                                                                                                                              |
| 3  | RAF emerged as the dominant enterprise survivability engine, accounting for more than 18.7M of the total forecast recovery and functioning as the primary scalable recovery mechanism across global geographies.                                                                                                        |
| 4  | Renewals continued to demonstrate exceptionally strong installed-base recovery economics and were heavily concentrated into NA_East where renewal acceleration generated maximum recoverable value.                                                                                                                     |
| 5  | Discounts remained tightly constrained and only appeared tactically within DACH after higher-quality RAF and Renewal recovery pathways became saturated.                                                                                                                                                                |
| 6  | Solver delayed discount utilization until late-stage recovery, mathematically confirming that discounts behave as overflow recovery mechanisms rather than primary recovery engines.                                                                                                                                    |
| 7  | Unlike Scenario S8 where Solver abandoned multiple geographies, Scenario S9C achieved complete geographic recovery coverage across all major regions including Brazil and Middle East.                                                                                                                                  |
| 8  | The optimization model demonstrated that enterprise-wide recovery becomes feasible once sufficient RAF scalability capacity is introduced into the CRR framework.                                                                                                                                                       |
| 9  | Marginal recovery efficiency declined modestly relative to earlier scenarios but remained economically rational even at elevated CRR deployment levels, indicating the organization had not yet entered destructive recovery economics territory.
|                                                                   |
| 10 | DACH became the first geography where Solver introduced tactical discounts to close the final recovery gap, signaling that DACH represented the boundary between high-efficiency and moderate-efficiency recovery territory.                                                                                            |
| 11 | The severe stress optimization framework mathematically validated the existence of a scalable enterprise recovery pathway capable of restoring complete global forecast attainment without broad-based pricing degradation.                                                                                             |
| 12 | Solver naturally prioritized high-efficiency geographies first and progressively expanded recovery into lower-efficiency regions as additional RAF scalability capacity became available.                                                                                                                               |
| 13 | The optimization model preserved governance discipline by maintaining discounts below the approved ceiling while still achieving complete enterprise recovery.                                                                                                                                                          |
| 14 | Important Lesson: Enterprise survivability under severe SaaS forecast deterioration is achievable when recovery capital is intelligently concentrated into scalable RAF acceleration and high-efficiency renewal motions while discounts remain tightly governed and tactically deployed only at the recovery frontier. |</t>
        </r>
      </text>
    </comment>
  </commentList>
</comments>
</file>

<file path=xl/sharedStrings.xml><?xml version="1.0" encoding="utf-8"?>
<sst xmlns="http://schemas.openxmlformats.org/spreadsheetml/2006/main" count="403" uniqueCount="140">
  <si>
    <t>CRR Optimization Model – Q4 FY26 Forecast Mitigation</t>
  </si>
  <si>
    <t xml:space="preserve">Scenario S2-Qualified Pipe: </t>
  </si>
  <si>
    <t>SECTION A — ROI Coefficient Matrix</t>
  </si>
  <si>
    <t>Field</t>
  </si>
  <si>
    <t>Details</t>
  </si>
  <si>
    <t>Geography</t>
  </si>
  <si>
    <t>RAF ROI</t>
  </si>
  <si>
    <t>Renewals ROI</t>
  </si>
  <si>
    <t>Discounts ROI</t>
  </si>
  <si>
    <t>Gap to Budget</t>
  </si>
  <si>
    <t>Scenario ID</t>
  </si>
  <si>
    <t>NA_West</t>
  </si>
  <si>
    <t>Scenario Description</t>
  </si>
  <si>
    <t>NA_East</t>
  </si>
  <si>
    <t>Strategic Question</t>
  </si>
  <si>
    <t>DACH</t>
  </si>
  <si>
    <t>Optimization Goal</t>
  </si>
  <si>
    <t>UKI</t>
  </si>
  <si>
    <t>Total Enterprise Gap to Budget</t>
  </si>
  <si>
    <t>India</t>
  </si>
  <si>
    <t>ANZ</t>
  </si>
  <si>
    <t>RAF Investment Pool</t>
  </si>
  <si>
    <t>Total</t>
  </si>
  <si>
    <t>Renewals Investment Pool</t>
  </si>
  <si>
    <t>Discounts Investment Pool</t>
  </si>
  <si>
    <t>Total Forecast Uplift Achieved</t>
  </si>
  <si>
    <t>SECTION B — Decision Variable Matrix (Solver Input Cells)</t>
  </si>
  <si>
    <t>RAF Invest</t>
  </si>
  <si>
    <t>Renewals Invest</t>
  </si>
  <si>
    <t>Discounts Invest</t>
  </si>
  <si>
    <t>Total Investment</t>
  </si>
  <si>
    <t>Effective Portfolio ROI</t>
  </si>
  <si>
    <t>Solver Outcome</t>
  </si>
  <si>
    <t>Decision Variable Allocations</t>
  </si>
  <si>
    <t>TOTAL</t>
  </si>
  <si>
    <t>Total CRR Allocation</t>
  </si>
  <si>
    <t>SECTION C — Forecast Uplift Matrix</t>
  </si>
  <si>
    <t>RAF Lift</t>
  </si>
  <si>
    <t>Renewals Lift</t>
  </si>
  <si>
    <t>Discounts Lift</t>
  </si>
  <si>
    <t>Total Forecast Lift</t>
  </si>
  <si>
    <t>Forecast Uplift Generated</t>
  </si>
  <si>
    <t>TOTAL UPLIFT</t>
  </si>
  <si>
    <t>Delta to Gap</t>
  </si>
  <si>
    <t>SECTION D — Solver Constraints</t>
  </si>
  <si>
    <t>Constraint</t>
  </si>
  <si>
    <t>Formula / Used</t>
  </si>
  <si>
    <t>Limit</t>
  </si>
  <si>
    <t>Total RAF Investment</t>
  </si>
  <si>
    <t>Total Renewals Investment</t>
  </si>
  <si>
    <t>Total Discount Investment</t>
  </si>
  <si>
    <t>Binding Constraints</t>
  </si>
  <si>
    <t>NA_West Lift</t>
  </si>
  <si>
    <t>Observation</t>
  </si>
  <si>
    <t>NA_East Lift</t>
  </si>
  <si>
    <t>Total Renewals Investment Pool</t>
  </si>
  <si>
    <t>Fully exhausted</t>
  </si>
  <si>
    <t>DACH Lift</t>
  </si>
  <si>
    <t>NA_West Gap Constraint</t>
  </si>
  <si>
    <t>Fully saturated</t>
  </si>
  <si>
    <t>NA_East Gap Constraint</t>
  </si>
  <si>
    <t>DACH Gap Constraint</t>
  </si>
  <si>
    <t>UKI Gap Constraint</t>
  </si>
  <si>
    <t>India Gap Constraint</t>
  </si>
  <si>
    <t>ANZ Gap Constraint</t>
  </si>
  <si>
    <t>Non-Binding Constraints</t>
  </si>
  <si>
    <t>Total RAF Investment Pool</t>
  </si>
  <si>
    <t xml:space="preserve">Objective function (Expanded) </t>
  </si>
  <si>
    <t>Maximize Total Forecast Lift Z =</t>
  </si>
  <si>
    <t>(2.0 × NA_West RAF Investment)</t>
  </si>
  <si>
    <t>+</t>
  </si>
  <si>
    <t>(2.4 × NA_West Renewals Investment)</t>
  </si>
  <si>
    <t>(1.7 × NA_East RAF Investment)</t>
  </si>
  <si>
    <t>(2.2 × NA_East Renewals Investment)</t>
  </si>
  <si>
    <t>(1.5 × DACH RAF Investment)</t>
  </si>
  <si>
    <t>(2.0 × DACH Renewals Investment)</t>
  </si>
  <si>
    <t>(1.6 × UKI RAF Investment)</t>
  </si>
  <si>
    <t>(2.1 × UKI Renewals Investment)</t>
  </si>
  <si>
    <t>(1.8 × India RAF Investment)</t>
  </si>
  <si>
    <t>(2.0 × India Renewals Investment)</t>
  </si>
  <si>
    <t>(1.6 × ANZ RAF Investment)</t>
  </si>
  <si>
    <t>(2.1 × ANZ Renewals Investment)</t>
  </si>
  <si>
    <t>(1.4 × NA_West Discounts Investment)</t>
  </si>
  <si>
    <t>(1.3 × NA_East Discounts Investment)</t>
  </si>
  <si>
    <t>(1.2 × DACH Discounts Investment)</t>
  </si>
  <si>
    <t>(1.2 × UKI Discounts Investment)</t>
  </si>
  <si>
    <t>(1.3 × India Discounts Investment)</t>
  </si>
  <si>
    <t>(1.2 × ANZ Discounts Investment)</t>
  </si>
  <si>
    <r>
      <rPr>
        <b/>
        <sz val="10"/>
        <color theme="1"/>
        <rFont val="Segoe UI"/>
        <family val="2"/>
      </rPr>
      <t xml:space="preserve">Business Scenario:
</t>
    </r>
    <r>
      <rPr>
        <sz val="10"/>
        <color theme="1"/>
        <rFont val="Segoe UI"/>
        <family val="2"/>
      </rPr>
      <t xml:space="preserve">At the end of March FY26 Q3 reporting cycle, High Pipeline Forecast indicates:
• Forecast: </t>
    </r>
    <r>
      <rPr>
        <b/>
        <sz val="10"/>
        <color theme="1"/>
        <rFont val="Segoe UI"/>
        <family val="2"/>
      </rPr>
      <t>125M</t>
    </r>
    <r>
      <rPr>
        <sz val="10"/>
        <color theme="1"/>
        <rFont val="Segoe UI"/>
        <family val="2"/>
      </rPr>
      <t xml:space="preserve">
• Budget: </t>
    </r>
    <r>
      <rPr>
        <b/>
        <sz val="10"/>
        <color theme="1"/>
        <rFont val="Segoe UI"/>
        <family val="2"/>
      </rPr>
      <t>160M</t>
    </r>
    <r>
      <rPr>
        <sz val="10"/>
        <color theme="1"/>
        <rFont val="Segoe UI"/>
        <family val="2"/>
      </rPr>
      <t xml:space="preserve">
• Gap to Budget (VTB): </t>
    </r>
    <r>
      <rPr>
        <sz val="10"/>
        <color rgb="FFFF0000"/>
        <rFont val="Segoe UI"/>
        <family val="2"/>
      </rPr>
      <t>-35M</t>
    </r>
    <r>
      <rPr>
        <sz val="10"/>
        <color theme="1"/>
        <rFont val="Segoe UI"/>
        <family val="2"/>
      </rPr>
      <t xml:space="preserve">
• Attainment: </t>
    </r>
    <r>
      <rPr>
        <sz val="10"/>
        <color rgb="FFFF0000"/>
        <rFont val="Segoe UI"/>
        <family val="2"/>
      </rPr>
      <t>78.0%</t>
    </r>
    <r>
      <rPr>
        <sz val="10"/>
        <color theme="1"/>
        <rFont val="Segoe UI"/>
        <family val="2"/>
      </rPr>
      <t xml:space="preserve">
The top 3 underperforming geographies (NA_West, NA_East, DACH) contribute ~27.8M of the total gap.
Management has approved tactical CRR deployment to accelerate Q4 forecast realization.
</t>
    </r>
    <r>
      <rPr>
        <b/>
        <sz val="10"/>
        <color theme="1"/>
        <rFont val="Segoe UI"/>
        <family val="2"/>
      </rPr>
      <t>Optimization Goal</t>
    </r>
    <r>
      <rPr>
        <sz val="10"/>
        <color theme="1"/>
        <rFont val="Segoe UI"/>
        <family val="2"/>
      </rPr>
      <t xml:space="preserve">:
Maximize Incremental Forecast Lift through optimal allocation of limited CRR capital
across selected geographies and investment levers while respecting operational and governance constraints.
</t>
    </r>
    <r>
      <rPr>
        <b/>
        <sz val="10"/>
        <color theme="1"/>
        <rFont val="Segoe UI"/>
        <family val="2"/>
      </rPr>
      <t>Decision Variables:</t>
    </r>
    <r>
      <rPr>
        <sz val="10"/>
        <color theme="1"/>
        <rFont val="Segoe UI"/>
        <family val="2"/>
      </rPr>
      <t xml:space="preserve">
The Solver decision variables represent CRR investment allocations by Geography × Investment Lever.
Solver will determine the optimal capital deployment mix to maximize total forecast uplift.</t>
    </r>
  </si>
  <si>
    <t>Brazil</t>
  </si>
  <si>
    <t xml:space="preserve">Middle East </t>
  </si>
  <si>
    <t>Severe Enterprise Stress Test Optimization (High Pipe Coverage Downside)</t>
  </si>
  <si>
    <t>S8</t>
  </si>
  <si>
    <t>Severe Enterprise Forecast Stress Optimization Under High Pipe Coverage Downside</t>
  </si>
  <si>
    <t>How should scarce enterprise CRR capital be optimally deployed under severe global forecast deterioration conditions?</t>
  </si>
  <si>
    <t>Maximize recoverable forecast uplift under constrained enterprise stress capital</t>
  </si>
  <si>
    <t>Total Enterprise CRR Pool</t>
  </si>
  <si>
    <t>Residual Forecast Exposure Remaining</t>
  </si>
  <si>
    <t>Recovery Efficiency</t>
  </si>
  <si>
    <t>2.04x</t>
  </si>
  <si>
    <t>Solver prioritized scarce CRR capital into NA_West and NA_East while abandoning lower-efficiency geographies under severe enterprise stress conditions</t>
  </si>
  <si>
    <t>Middle East</t>
  </si>
  <si>
    <t>Total Discount Investment Pool</t>
  </si>
  <si>
    <t>Partially unrecovered</t>
  </si>
  <si>
    <t>Completely unrecovered</t>
  </si>
  <si>
    <t>Brazil Gap Constraint</t>
  </si>
  <si>
    <t>Middle East Gap Constraint</t>
  </si>
  <si>
    <t>(1.1 × Brazil Discounts Investment)</t>
  </si>
  <si>
    <t>(1.1 × Middle East Discounts Investment)</t>
  </si>
  <si>
    <t>Subject to:</t>
  </si>
  <si>
    <t>Total RAF Investment ≤ 6,000,000</t>
  </si>
  <si>
    <t>Total Renewals Investment ≤ 5,000,000</t>
  </si>
  <si>
    <t>Total Discount Investment ≤ 1,000,000</t>
  </si>
  <si>
    <t>Total CRR Allocation ≤ 12,000,000</t>
  </si>
  <si>
    <t>Scenario</t>
  </si>
  <si>
    <t>Incremental Lift</t>
  </si>
  <si>
    <t>Marginal ROI</t>
  </si>
  <si>
    <t>S8 - 12M</t>
  </si>
  <si>
    <t>S9A - 14M</t>
  </si>
  <si>
    <t xml:space="preserve">Delta to Gap </t>
  </si>
  <si>
    <t>S9B - 16M</t>
  </si>
  <si>
    <t>S9D - 18M</t>
  </si>
  <si>
    <t>S9C - 17M</t>
  </si>
  <si>
    <t>S9D</t>
  </si>
  <si>
    <t>Scenario S9D - Qualified Pipe</t>
  </si>
  <si>
    <t>Enterprise Recovery Frontier Optimization (18M CRR)</t>
  </si>
  <si>
    <t>Enterprise_wide severe stress recovery optimization with Expanded CRR deployment</t>
  </si>
  <si>
    <t>What is the economically optimal CRR deployment level required to fully restore enterprise forecast attainment under severe downside stress conditions?</t>
  </si>
  <si>
    <t>Achieve complete enterprise forecast recovery while minimizing marginal recovery deterioration and preserving governance efficiency</t>
  </si>
  <si>
    <t>1.93x</t>
  </si>
  <si>
    <t>Complete enterprise forecast recovery achieved through blended RAF &amp; Renewals optimization with minimal tactical discount dependency</t>
  </si>
  <si>
    <t>Enterprise Forecast Gap</t>
  </si>
  <si>
    <t>Completely recovered</t>
  </si>
  <si>
    <t>Slight residual unused capacity</t>
  </si>
  <si>
    <t>Small residual unused balance</t>
  </si>
  <si>
    <t>NA_West / NA_East Recovery</t>
  </si>
  <si>
    <t>Recovered before full discount exhaustion</t>
  </si>
  <si>
    <t>Total RAF Investment ≤ 10,500,000</t>
  </si>
  <si>
    <t>Total Renewals Investment ≤ 6,500,000</t>
  </si>
  <si>
    <t>Total CRR Allocation ≤ 18,000,000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</si>
</sst>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name val="Segoe UI"/>
      <family val="2"/>
    </font>
    <font>
      <sz val="11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rgb="FFFF0000"/>
      <name val="Segoe UI"/>
      <family val="2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0"/>
      <color rgb="FFFFFFFF"/>
      <name val="Segoe UI"/>
      <family val="2"/>
    </font>
    <font>
      <b/>
      <sz val="11"/>
      <color theme="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/>
    </xf>
    <xf numFmtId="3" fontId="4" fillId="0" borderId="0" xfId="0" applyNumberFormat="1" applyFont="1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7" fillId="3" borderId="1" xfId="0" applyFont="1" applyFill="1" applyBorder="1"/>
    <xf numFmtId="3" fontId="7" fillId="3" borderId="1" xfId="0" applyNumberFormat="1" applyFont="1" applyFill="1" applyBorder="1"/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4" borderId="1" xfId="0" applyNumberFormat="1" applyFont="1" applyFill="1" applyBorder="1"/>
    <xf numFmtId="0" fontId="9" fillId="0" borderId="0" xfId="0" applyFont="1"/>
    <xf numFmtId="0" fontId="4" fillId="0" borderId="0" xfId="0" applyFont="1" applyAlignment="1">
      <alignment horizontal="center" vertical="center" wrapText="1"/>
    </xf>
    <xf numFmtId="3" fontId="3" fillId="5" borderId="1" xfId="0" applyNumberFormat="1" applyFont="1" applyFill="1" applyBorder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6" borderId="0" xfId="0" applyFont="1" applyFill="1"/>
    <xf numFmtId="3" fontId="6" fillId="0" borderId="0" xfId="0" applyNumberFormat="1" applyFont="1" applyAlignment="1">
      <alignment horizontal="left" vertical="center"/>
    </xf>
    <xf numFmtId="3" fontId="3" fillId="0" borderId="0" xfId="0" applyNumberFormat="1" applyFont="1"/>
    <xf numFmtId="0" fontId="2" fillId="6" borderId="0" xfId="0" applyFont="1" applyFill="1"/>
    <xf numFmtId="3" fontId="3" fillId="0" borderId="0" xfId="0" applyNumberFormat="1" applyFont="1" applyAlignment="1">
      <alignment vertical="center" wrapText="1"/>
    </xf>
    <xf numFmtId="2" fontId="3" fillId="0" borderId="0" xfId="0" applyNumberFormat="1" applyFont="1"/>
    <xf numFmtId="3" fontId="0" fillId="0" borderId="0" xfId="0" applyNumberFormat="1" applyAlignment="1">
      <alignment horizontal="right" vertical="center"/>
    </xf>
    <xf numFmtId="9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 wrapText="1"/>
    </xf>
    <xf numFmtId="3" fontId="3" fillId="0" borderId="2" xfId="0" applyNumberFormat="1" applyFont="1" applyBorder="1"/>
    <xf numFmtId="2" fontId="3" fillId="0" borderId="2" xfId="0" applyNumberFormat="1" applyFont="1" applyBorder="1"/>
    <xf numFmtId="0" fontId="3" fillId="0" borderId="2" xfId="0" applyFont="1" applyBorder="1"/>
    <xf numFmtId="3" fontId="3" fillId="4" borderId="2" xfId="0" applyNumberFormat="1" applyFont="1" applyFill="1" applyBorder="1"/>
    <xf numFmtId="3" fontId="4" fillId="7" borderId="2" xfId="0" applyNumberFormat="1" applyFont="1" applyFill="1" applyBorder="1"/>
    <xf numFmtId="3" fontId="3" fillId="5" borderId="2" xfId="0" applyNumberFormat="1" applyFont="1" applyFill="1" applyBorder="1"/>
    <xf numFmtId="3" fontId="3" fillId="8" borderId="2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105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n-GB" sz="1050" b="1" baseline="0">
                <a:latin typeface="Segoe UI" panose="020B0502040204020203" pitchFamily="34" charset="0"/>
                <a:cs typeface="Segoe UI" panose="020B0502040204020203" pitchFamily="34" charset="0"/>
              </a:rPr>
              <a:t> Forecast Lift vs. ROI</a:t>
            </a:r>
            <a:endParaRPr lang="en-GB" sz="105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'LP-Scenario9A'!$B$60</c:f>
              <c:strCache>
                <c:ptCount val="1"/>
                <c:pt idx="0">
                  <c:v>Total Forecast Lift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'LP-Scenario9A'!$A$61:$A$65</c:f>
              <c:strCache>
                <c:ptCount val="5"/>
                <c:pt idx="0">
                  <c:v>S8 - 12M</c:v>
                </c:pt>
                <c:pt idx="1">
                  <c:v>S9A - 14M</c:v>
                </c:pt>
                <c:pt idx="2">
                  <c:v>S9B - 16M</c:v>
                </c:pt>
                <c:pt idx="3">
                  <c:v>S9C - 17M</c:v>
                </c:pt>
                <c:pt idx="4">
                  <c:v>S9D - 18M</c:v>
                </c:pt>
              </c:strCache>
            </c:strRef>
          </c:cat>
          <c:val>
            <c:numRef>
              <c:f>'LP-Scenario9A'!$B$61:$B$65</c:f>
              <c:numCache>
                <c:formatCode>#,##0</c:formatCode>
                <c:ptCount val="5"/>
                <c:pt idx="0">
                  <c:v>24447302.333333336</c:v>
                </c:pt>
                <c:pt idx="1">
                  <c:v>28237120.979797978</c:v>
                </c:pt>
                <c:pt idx="2">
                  <c:v>31770125.229437232</c:v>
                </c:pt>
                <c:pt idx="3">
                  <c:v>33315579.774891771</c:v>
                </c:pt>
                <c:pt idx="4">
                  <c:v>34760786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0-467A-B7BD-7C9D28E3A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689888"/>
        <c:axId val="2110677936"/>
      </c:barChart>
      <c:lineChart>
        <c:grouping val="standard"/>
        <c:varyColors val="0"/>
        <c:ser>
          <c:idx val="1"/>
          <c:order val="1"/>
          <c:tx>
            <c:strRef>
              <c:f>'LP-Scenario9A'!$E$60</c:f>
              <c:strCache>
                <c:ptCount val="1"/>
                <c:pt idx="0">
                  <c:v>Marginal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'LP-Scenario9A'!$A$61:$A$65</c:f>
              <c:strCache>
                <c:ptCount val="5"/>
                <c:pt idx="0">
                  <c:v>S8 - 12M</c:v>
                </c:pt>
                <c:pt idx="1">
                  <c:v>S9A - 14M</c:v>
                </c:pt>
                <c:pt idx="2">
                  <c:v>S9B - 16M</c:v>
                </c:pt>
                <c:pt idx="3">
                  <c:v>S9C - 17M</c:v>
                </c:pt>
                <c:pt idx="4">
                  <c:v>S9D - 18M</c:v>
                </c:pt>
              </c:strCache>
            </c:strRef>
          </c:cat>
          <c:val>
            <c:numRef>
              <c:f>'LP-Scenario9A'!$E$61:$E$65</c:f>
              <c:numCache>
                <c:formatCode>0.00</c:formatCode>
                <c:ptCount val="5"/>
                <c:pt idx="0">
                  <c:v>2.0372751944444447</c:v>
                </c:pt>
                <c:pt idx="1">
                  <c:v>2.0169372128427128</c:v>
                </c:pt>
                <c:pt idx="2">
                  <c:v>1.9856328268398269</c:v>
                </c:pt>
                <c:pt idx="3">
                  <c:v>1.9597399867583396</c:v>
                </c:pt>
                <c:pt idx="4">
                  <c:v>1.9311547777777778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0-467A-B7BD-7C9D28E3A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1670400"/>
        <c:axId val="2110678416"/>
      </c:lineChart>
      <c:catAx>
        <c:axId val="12516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77936"/>
        <c:crosses val="autoZero"/>
        <c:auto val="1"/>
        <c:lblAlgn val="ctr"/>
        <c:lblOffset val="100"/>
        <c:noMultiLvlLbl val="0"/>
      </c:catAx>
      <c:valAx>
        <c:axId val="21106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89888"/>
        <c:crosses val="autoZero"/>
        <c:crossBetween val="between"/>
      </c:valAx>
      <c:valAx>
        <c:axId val="21106784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670400"/>
        <c:crosses val="max"/>
        <c:crossBetween val="between"/>
      </c:valAx>
      <c:catAx>
        <c:axId val="1251670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6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29765</xdr:colOff>
      <xdr:row>67</xdr:row>
      <xdr:rowOff>21432</xdr:rowOff>
    </xdr:from>
    <xdr:to>
      <xdr:col>2</xdr:col>
      <xdr:colOff>1202530</xdr:colOff>
      <xdr:row>82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08F98-8011-A314-F0AA-B743CFB81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81AB-71E8-4865-84C0-FDE834CC88F5}">
  <sheetPr>
    <tabColor theme="6" tint="-0.249977111117893"/>
  </sheetPr>
  <dimension ref="A1:P103"/>
  <sheetViews>
    <sheetView topLeftCell="B4" zoomScale="80" zoomScaleNormal="80" workbookViewId="0">
      <selection activeCell="K9" sqref="K9"/>
    </sheetView>
  </sheetViews>
  <sheetFormatPr defaultRowHeight="16.5" x14ac:dyDescent="0.3"/>
  <cols>
    <col min="1" max="1" width="43.7109375" style="2" customWidth="1"/>
    <col min="2" max="2" width="18" style="2" customWidth="1"/>
    <col min="3" max="4" width="20" style="2" customWidth="1"/>
    <col min="5" max="5" width="22" style="2" customWidth="1"/>
    <col min="6" max="10" width="9.140625" style="2"/>
    <col min="11" max="11" width="35.28515625" style="2" bestFit="1" customWidth="1"/>
    <col min="12" max="12" width="19.28515625" style="2" customWidth="1"/>
    <col min="13" max="13" width="16.28515625" style="2" bestFit="1" customWidth="1"/>
    <col min="14" max="14" width="16.5703125" style="2" bestFit="1" customWidth="1"/>
    <col min="15" max="15" width="20.5703125" style="2" bestFit="1" customWidth="1"/>
    <col min="16" max="16" width="16.28515625" style="2" bestFit="1" customWidth="1"/>
    <col min="17" max="17" width="8.42578125" style="2" customWidth="1"/>
    <col min="18" max="18" width="20.5703125" style="2" bestFit="1" customWidth="1"/>
    <col min="19" max="16384" width="9.140625" style="2"/>
  </cols>
  <sheetData>
    <row r="1" spans="1:16" ht="25.5" x14ac:dyDescent="0.5">
      <c r="A1" s="1" t="s">
        <v>0</v>
      </c>
    </row>
    <row r="3" spans="1:16" ht="369" customHeight="1" x14ac:dyDescent="0.3">
      <c r="A3" s="3" t="s">
        <v>88</v>
      </c>
      <c r="K3" s="4"/>
      <c r="L3" s="4"/>
    </row>
    <row r="4" spans="1:16" x14ac:dyDescent="0.3">
      <c r="K4" s="5" t="s">
        <v>1</v>
      </c>
      <c r="L4" s="5" t="s">
        <v>91</v>
      </c>
      <c r="M4" s="6"/>
    </row>
    <row r="5" spans="1:16" x14ac:dyDescent="0.3">
      <c r="A5" s="7" t="s">
        <v>2</v>
      </c>
      <c r="B5" s="6"/>
      <c r="C5" s="6"/>
      <c r="D5" s="6"/>
      <c r="E5" s="6"/>
      <c r="K5" s="8" t="s">
        <v>3</v>
      </c>
      <c r="L5" s="8" t="s">
        <v>4</v>
      </c>
      <c r="M5" s="6"/>
    </row>
    <row r="6" spans="1:16" x14ac:dyDescent="0.3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K6" s="10" t="s">
        <v>10</v>
      </c>
      <c r="L6" s="10" t="s">
        <v>92</v>
      </c>
      <c r="M6" s="6"/>
    </row>
    <row r="7" spans="1:16" x14ac:dyDescent="0.3">
      <c r="A7" s="11" t="s">
        <v>11</v>
      </c>
      <c r="B7" s="12">
        <v>2</v>
      </c>
      <c r="C7" s="12">
        <v>2.4</v>
      </c>
      <c r="D7" s="12">
        <v>1.4</v>
      </c>
      <c r="E7" s="13">
        <v>13767628</v>
      </c>
      <c r="K7" s="10" t="s">
        <v>12</v>
      </c>
      <c r="L7" s="10" t="s">
        <v>93</v>
      </c>
      <c r="M7" s="6"/>
    </row>
    <row r="8" spans="1:16" x14ac:dyDescent="0.3">
      <c r="A8" s="11" t="s">
        <v>13</v>
      </c>
      <c r="B8" s="12">
        <v>1.7</v>
      </c>
      <c r="C8" s="12">
        <v>2.2000000000000002</v>
      </c>
      <c r="D8" s="12">
        <v>1.3</v>
      </c>
      <c r="E8" s="13">
        <v>11044068</v>
      </c>
      <c r="K8" s="10" t="s">
        <v>14</v>
      </c>
      <c r="L8" s="10" t="s">
        <v>94</v>
      </c>
      <c r="M8" s="6"/>
    </row>
    <row r="9" spans="1:16" x14ac:dyDescent="0.3">
      <c r="A9" s="11" t="s">
        <v>15</v>
      </c>
      <c r="B9" s="12">
        <v>1.5</v>
      </c>
      <c r="C9" s="12">
        <v>2</v>
      </c>
      <c r="D9" s="12">
        <v>1.2</v>
      </c>
      <c r="E9" s="13">
        <v>3160555</v>
      </c>
      <c r="K9" s="10" t="s">
        <v>16</v>
      </c>
      <c r="L9" s="14" t="s">
        <v>95</v>
      </c>
      <c r="M9" s="6"/>
    </row>
    <row r="10" spans="1:16" x14ac:dyDescent="0.3">
      <c r="A10" s="11" t="s">
        <v>17</v>
      </c>
      <c r="B10" s="12">
        <v>1.6</v>
      </c>
      <c r="C10" s="12">
        <v>2.1</v>
      </c>
      <c r="D10" s="12">
        <v>1.2</v>
      </c>
      <c r="E10" s="13">
        <v>1615518</v>
      </c>
      <c r="K10" s="10" t="s">
        <v>18</v>
      </c>
      <c r="L10" s="14">
        <v>34760786</v>
      </c>
      <c r="M10" s="6"/>
      <c r="N10" s="6"/>
      <c r="O10" s="6"/>
      <c r="P10" s="6"/>
    </row>
    <row r="11" spans="1:16" x14ac:dyDescent="0.3">
      <c r="A11" s="11" t="s">
        <v>19</v>
      </c>
      <c r="B11" s="12">
        <v>1.8</v>
      </c>
      <c r="C11" s="12">
        <v>2</v>
      </c>
      <c r="D11" s="12">
        <v>1.3</v>
      </c>
      <c r="E11" s="13">
        <v>2709918</v>
      </c>
      <c r="K11" s="10" t="s">
        <v>96</v>
      </c>
      <c r="L11" s="14">
        <v>12000000</v>
      </c>
      <c r="M11" s="6"/>
    </row>
    <row r="12" spans="1:16" x14ac:dyDescent="0.3">
      <c r="A12" s="11" t="s">
        <v>20</v>
      </c>
      <c r="B12" s="12">
        <v>1.6</v>
      </c>
      <c r="C12" s="12">
        <v>2.1</v>
      </c>
      <c r="D12" s="12">
        <v>1.2</v>
      </c>
      <c r="E12" s="13">
        <v>1425304</v>
      </c>
      <c r="K12" s="10" t="s">
        <v>21</v>
      </c>
      <c r="L12" s="14">
        <v>6000000</v>
      </c>
      <c r="M12" s="6"/>
    </row>
    <row r="13" spans="1:16" x14ac:dyDescent="0.3">
      <c r="A13" s="11" t="s">
        <v>89</v>
      </c>
      <c r="B13" s="12">
        <v>1.4</v>
      </c>
      <c r="C13" s="12">
        <v>1.9</v>
      </c>
      <c r="D13" s="12">
        <v>1.1000000000000001</v>
      </c>
      <c r="E13" s="13">
        <v>660687</v>
      </c>
      <c r="K13" s="10" t="s">
        <v>23</v>
      </c>
      <c r="L13" s="14">
        <v>5000000</v>
      </c>
      <c r="M13" s="6"/>
    </row>
    <row r="14" spans="1:16" x14ac:dyDescent="0.3">
      <c r="A14" s="11" t="s">
        <v>90</v>
      </c>
      <c r="B14" s="12">
        <v>1.5</v>
      </c>
      <c r="C14" s="12">
        <v>2</v>
      </c>
      <c r="D14" s="12">
        <v>1.1000000000000001</v>
      </c>
      <c r="E14" s="13">
        <v>377108</v>
      </c>
      <c r="K14" s="10" t="s">
        <v>24</v>
      </c>
      <c r="L14" s="14">
        <v>1000000</v>
      </c>
      <c r="M14" s="6"/>
    </row>
    <row r="15" spans="1:16" x14ac:dyDescent="0.3">
      <c r="A15" s="6"/>
      <c r="B15" s="6"/>
      <c r="C15" s="6"/>
      <c r="D15" s="15" t="s">
        <v>22</v>
      </c>
      <c r="E15" s="16">
        <f>SUM(E7:E14)</f>
        <v>34760786</v>
      </c>
      <c r="K15" s="10" t="s">
        <v>25</v>
      </c>
      <c r="L15" s="14">
        <v>24447302</v>
      </c>
      <c r="M15" s="6"/>
    </row>
    <row r="16" spans="1:16" x14ac:dyDescent="0.3">
      <c r="A16" s="6"/>
      <c r="B16" s="6"/>
      <c r="C16" s="6"/>
      <c r="D16" s="15"/>
      <c r="E16" s="16"/>
      <c r="K16" s="17" t="s">
        <v>97</v>
      </c>
      <c r="L16" s="18">
        <v>10313484</v>
      </c>
      <c r="M16" s="19"/>
    </row>
    <row r="17" spans="1:15" x14ac:dyDescent="0.3">
      <c r="A17" s="6"/>
      <c r="B17" s="6"/>
      <c r="C17" s="6"/>
      <c r="D17" s="6"/>
      <c r="E17" s="6"/>
      <c r="K17" s="17" t="s">
        <v>98</v>
      </c>
      <c r="L17" s="18">
        <v>0.70299999999999996</v>
      </c>
      <c r="M17" s="19"/>
    </row>
    <row r="18" spans="1:15" x14ac:dyDescent="0.3">
      <c r="A18" s="7" t="s">
        <v>26</v>
      </c>
      <c r="B18" s="6"/>
      <c r="C18" s="6"/>
      <c r="D18" s="6"/>
      <c r="E18" s="6"/>
      <c r="K18" s="17" t="s">
        <v>31</v>
      </c>
      <c r="L18" s="17" t="s">
        <v>99</v>
      </c>
      <c r="M18" s="19"/>
    </row>
    <row r="19" spans="1:15" x14ac:dyDescent="0.3">
      <c r="A19" s="9" t="s">
        <v>5</v>
      </c>
      <c r="B19" s="9" t="s">
        <v>27</v>
      </c>
      <c r="C19" s="9" t="s">
        <v>28</v>
      </c>
      <c r="D19" s="9" t="s">
        <v>29</v>
      </c>
      <c r="E19" s="9" t="s">
        <v>30</v>
      </c>
      <c r="K19" s="20" t="s">
        <v>32</v>
      </c>
      <c r="L19" s="35" t="s">
        <v>100</v>
      </c>
      <c r="M19" s="19"/>
    </row>
    <row r="20" spans="1:15" x14ac:dyDescent="0.3">
      <c r="A20" s="11" t="s">
        <v>11</v>
      </c>
      <c r="B20" s="13">
        <v>6000000</v>
      </c>
      <c r="C20" s="13">
        <v>736511.66666666651</v>
      </c>
      <c r="D20" s="13">
        <v>0</v>
      </c>
      <c r="E20" s="13">
        <f>SUM(B20:D20)</f>
        <v>6736511.666666666</v>
      </c>
      <c r="K20" s="17"/>
      <c r="L20" s="18"/>
      <c r="M20" s="19"/>
    </row>
    <row r="21" spans="1:15" x14ac:dyDescent="0.3">
      <c r="A21" s="11" t="s">
        <v>13</v>
      </c>
      <c r="B21" s="13">
        <v>0</v>
      </c>
      <c r="C21" s="13">
        <v>4263488.333333334</v>
      </c>
      <c r="D21" s="13">
        <v>1000000</v>
      </c>
      <c r="E21" s="13">
        <f>SUM(B21:D21)</f>
        <v>5263488.333333334</v>
      </c>
      <c r="K21" s="21" t="s">
        <v>33</v>
      </c>
      <c r="L21" s="17"/>
      <c r="M21" s="19"/>
    </row>
    <row r="22" spans="1:15" x14ac:dyDescent="0.3">
      <c r="A22" s="11" t="s">
        <v>15</v>
      </c>
      <c r="B22" s="13">
        <v>0</v>
      </c>
      <c r="C22" s="13">
        <v>0</v>
      </c>
      <c r="D22" s="13">
        <v>0</v>
      </c>
      <c r="E22" s="13">
        <f>SUM(B22:D22)</f>
        <v>0</v>
      </c>
      <c r="K22" s="8" t="s">
        <v>5</v>
      </c>
      <c r="L22" s="24" t="s">
        <v>27</v>
      </c>
      <c r="M22" s="24" t="s">
        <v>28</v>
      </c>
      <c r="N22" s="24" t="s">
        <v>29</v>
      </c>
      <c r="O22" s="24" t="s">
        <v>35</v>
      </c>
    </row>
    <row r="23" spans="1:15" x14ac:dyDescent="0.3">
      <c r="A23" s="11" t="s">
        <v>17</v>
      </c>
      <c r="B23" s="13">
        <v>0</v>
      </c>
      <c r="C23" s="13">
        <v>0</v>
      </c>
      <c r="D23" s="13">
        <v>0</v>
      </c>
      <c r="E23" s="13">
        <f t="shared" ref="E23:E27" si="0">SUM(B23:D23)</f>
        <v>0</v>
      </c>
      <c r="K23" s="10" t="s">
        <v>11</v>
      </c>
      <c r="L23" s="25">
        <v>6000000</v>
      </c>
      <c r="M23" s="25">
        <v>736512</v>
      </c>
      <c r="N23" s="26">
        <v>0</v>
      </c>
      <c r="O23" s="25">
        <v>6736512</v>
      </c>
    </row>
    <row r="24" spans="1:15" x14ac:dyDescent="0.3">
      <c r="A24" s="11" t="s">
        <v>19</v>
      </c>
      <c r="B24" s="13">
        <v>0</v>
      </c>
      <c r="C24" s="13">
        <v>0</v>
      </c>
      <c r="D24" s="13">
        <v>0</v>
      </c>
      <c r="E24" s="13">
        <f t="shared" si="0"/>
        <v>0</v>
      </c>
      <c r="K24" s="10" t="s">
        <v>13</v>
      </c>
      <c r="L24" s="26">
        <v>0</v>
      </c>
      <c r="M24" s="25">
        <v>4263488</v>
      </c>
      <c r="N24" s="25">
        <v>1000000</v>
      </c>
      <c r="O24" s="25">
        <v>5263488</v>
      </c>
    </row>
    <row r="25" spans="1:15" x14ac:dyDescent="0.3">
      <c r="A25" s="11" t="s">
        <v>20</v>
      </c>
      <c r="B25" s="13">
        <v>0</v>
      </c>
      <c r="C25" s="13">
        <v>0</v>
      </c>
      <c r="D25" s="13">
        <v>0</v>
      </c>
      <c r="E25" s="13">
        <f t="shared" si="0"/>
        <v>0</v>
      </c>
      <c r="K25" s="10" t="s">
        <v>15</v>
      </c>
      <c r="L25" s="25">
        <v>0</v>
      </c>
      <c r="M25" s="25">
        <v>0</v>
      </c>
      <c r="N25" s="25">
        <v>0</v>
      </c>
      <c r="O25" s="25">
        <v>0</v>
      </c>
    </row>
    <row r="26" spans="1:15" x14ac:dyDescent="0.3">
      <c r="A26" s="11" t="s">
        <v>89</v>
      </c>
      <c r="B26" s="13">
        <v>0</v>
      </c>
      <c r="C26" s="13">
        <v>0</v>
      </c>
      <c r="D26" s="13">
        <v>0</v>
      </c>
      <c r="E26" s="13">
        <f t="shared" si="0"/>
        <v>0</v>
      </c>
      <c r="K26" s="10" t="s">
        <v>17</v>
      </c>
      <c r="L26" s="25">
        <v>0</v>
      </c>
      <c r="M26" s="25">
        <v>0</v>
      </c>
      <c r="N26" s="25">
        <v>0</v>
      </c>
      <c r="O26" s="25">
        <v>0</v>
      </c>
    </row>
    <row r="27" spans="1:15" x14ac:dyDescent="0.3">
      <c r="A27" s="11" t="s">
        <v>90</v>
      </c>
      <c r="B27" s="13">
        <v>0</v>
      </c>
      <c r="C27" s="13">
        <v>0</v>
      </c>
      <c r="D27" s="13">
        <v>0</v>
      </c>
      <c r="E27" s="13">
        <f t="shared" si="0"/>
        <v>0</v>
      </c>
      <c r="K27" s="10" t="s">
        <v>19</v>
      </c>
      <c r="L27" s="25">
        <v>0</v>
      </c>
      <c r="M27" s="25">
        <v>0</v>
      </c>
      <c r="N27" s="25">
        <v>0</v>
      </c>
      <c r="O27" s="25">
        <v>0</v>
      </c>
    </row>
    <row r="28" spans="1:15" x14ac:dyDescent="0.3">
      <c r="A28" s="22" t="s">
        <v>34</v>
      </c>
      <c r="B28" s="23">
        <f>SUM(B20:B27)</f>
        <v>6000000</v>
      </c>
      <c r="C28" s="23">
        <f>SUM(C20:C27)</f>
        <v>5000000</v>
      </c>
      <c r="D28" s="23">
        <f>SUM(D20:D27)</f>
        <v>1000000</v>
      </c>
      <c r="E28" s="23">
        <f>SUM(E20:E27)</f>
        <v>12000000</v>
      </c>
      <c r="K28" s="10" t="s">
        <v>20</v>
      </c>
      <c r="L28" s="25">
        <v>0</v>
      </c>
      <c r="M28" s="25">
        <v>0</v>
      </c>
      <c r="N28" s="25">
        <v>0</v>
      </c>
      <c r="O28" s="25">
        <v>0</v>
      </c>
    </row>
    <row r="29" spans="1:15" x14ac:dyDescent="0.3">
      <c r="A29" s="6"/>
      <c r="B29" s="6"/>
      <c r="C29" s="6"/>
      <c r="D29" s="6"/>
      <c r="E29" s="6"/>
      <c r="K29" s="10" t="s">
        <v>89</v>
      </c>
      <c r="L29" s="25">
        <v>0</v>
      </c>
      <c r="M29" s="25">
        <v>0</v>
      </c>
      <c r="N29" s="25">
        <v>0</v>
      </c>
      <c r="O29" s="25">
        <v>0</v>
      </c>
    </row>
    <row r="30" spans="1:15" x14ac:dyDescent="0.3">
      <c r="A30" s="6"/>
      <c r="B30" s="6"/>
      <c r="C30" s="6"/>
      <c r="D30" s="6"/>
      <c r="E30" s="6"/>
      <c r="K30" s="6" t="s">
        <v>101</v>
      </c>
      <c r="L30" s="6">
        <v>0</v>
      </c>
      <c r="M30" s="6">
        <v>0</v>
      </c>
      <c r="N30" s="6">
        <v>0</v>
      </c>
      <c r="O30" s="6">
        <v>0</v>
      </c>
    </row>
    <row r="31" spans="1:15" x14ac:dyDescent="0.3">
      <c r="A31" s="7" t="s">
        <v>36</v>
      </c>
      <c r="B31" s="6"/>
      <c r="C31" s="6"/>
      <c r="D31" s="6"/>
      <c r="E31" s="6"/>
      <c r="K31" s="6" t="s">
        <v>34</v>
      </c>
      <c r="L31" s="36">
        <v>6000000</v>
      </c>
      <c r="M31" s="36">
        <v>5000000</v>
      </c>
      <c r="N31" s="36">
        <v>1000000</v>
      </c>
      <c r="O31" s="36">
        <v>12000000</v>
      </c>
    </row>
    <row r="32" spans="1:15" x14ac:dyDescent="0.3">
      <c r="A32" s="9" t="s">
        <v>5</v>
      </c>
      <c r="B32" s="9" t="s">
        <v>37</v>
      </c>
      <c r="C32" s="9" t="s">
        <v>38</v>
      </c>
      <c r="D32" s="9" t="s">
        <v>39</v>
      </c>
      <c r="E32" s="9" t="s">
        <v>40</v>
      </c>
    </row>
    <row r="33" spans="1:15" x14ac:dyDescent="0.3">
      <c r="A33" s="11" t="s">
        <v>11</v>
      </c>
      <c r="B33" s="13">
        <f t="shared" ref="B33:D38" si="1">B20*B7</f>
        <v>12000000</v>
      </c>
      <c r="C33" s="13">
        <f t="shared" si="1"/>
        <v>1767627.9999999995</v>
      </c>
      <c r="D33" s="13">
        <f t="shared" si="1"/>
        <v>0</v>
      </c>
      <c r="E33" s="13">
        <f>SUM(B33:D33)</f>
        <v>13767628</v>
      </c>
      <c r="K33" s="21" t="s">
        <v>41</v>
      </c>
      <c r="L33" s="6"/>
      <c r="M33" s="6"/>
      <c r="N33" s="6"/>
      <c r="O33" s="6"/>
    </row>
    <row r="34" spans="1:15" x14ac:dyDescent="0.3">
      <c r="A34" s="11" t="s">
        <v>13</v>
      </c>
      <c r="B34" s="13">
        <f t="shared" si="1"/>
        <v>0</v>
      </c>
      <c r="C34" s="13">
        <f t="shared" si="1"/>
        <v>9379674.3333333358</v>
      </c>
      <c r="D34" s="13">
        <f t="shared" si="1"/>
        <v>1300000</v>
      </c>
      <c r="E34" s="13">
        <f>SUM(B34:D34)</f>
        <v>10679674.333333336</v>
      </c>
      <c r="K34" s="8" t="s">
        <v>5</v>
      </c>
      <c r="L34" s="24" t="s">
        <v>37</v>
      </c>
      <c r="M34" s="24" t="s">
        <v>38</v>
      </c>
      <c r="N34" s="24" t="s">
        <v>39</v>
      </c>
      <c r="O34" s="24" t="s">
        <v>40</v>
      </c>
    </row>
    <row r="35" spans="1:15" x14ac:dyDescent="0.3">
      <c r="A35" s="11" t="s">
        <v>15</v>
      </c>
      <c r="B35" s="13">
        <f t="shared" si="1"/>
        <v>0</v>
      </c>
      <c r="C35" s="13">
        <f t="shared" si="1"/>
        <v>0</v>
      </c>
      <c r="D35" s="13">
        <f t="shared" si="1"/>
        <v>0</v>
      </c>
      <c r="E35" s="13">
        <f>SUM(B35:D35)</f>
        <v>0</v>
      </c>
      <c r="K35" s="10" t="s">
        <v>11</v>
      </c>
      <c r="L35" s="25">
        <v>12000000</v>
      </c>
      <c r="M35" s="25">
        <v>1767628</v>
      </c>
      <c r="N35" s="26">
        <v>0</v>
      </c>
      <c r="O35" s="25">
        <v>13767628</v>
      </c>
    </row>
    <row r="36" spans="1:15" x14ac:dyDescent="0.3">
      <c r="A36" s="11" t="s">
        <v>17</v>
      </c>
      <c r="B36" s="13">
        <f t="shared" si="1"/>
        <v>0</v>
      </c>
      <c r="C36" s="13">
        <f t="shared" si="1"/>
        <v>0</v>
      </c>
      <c r="D36" s="13">
        <f t="shared" si="1"/>
        <v>0</v>
      </c>
      <c r="E36" s="13">
        <f t="shared" ref="E36:E40" si="2">SUM(B36:D36)</f>
        <v>0</v>
      </c>
      <c r="K36" s="10" t="s">
        <v>13</v>
      </c>
      <c r="L36" s="26">
        <v>0</v>
      </c>
      <c r="M36" s="25">
        <v>9379674</v>
      </c>
      <c r="N36" s="25">
        <v>1300000</v>
      </c>
      <c r="O36" s="25">
        <v>10679674</v>
      </c>
    </row>
    <row r="37" spans="1:15" x14ac:dyDescent="0.3">
      <c r="A37" s="11" t="s">
        <v>19</v>
      </c>
      <c r="B37" s="13">
        <f t="shared" si="1"/>
        <v>0</v>
      </c>
      <c r="C37" s="13">
        <f t="shared" si="1"/>
        <v>0</v>
      </c>
      <c r="D37" s="13">
        <f t="shared" si="1"/>
        <v>0</v>
      </c>
      <c r="E37" s="13">
        <f t="shared" si="2"/>
        <v>0</v>
      </c>
      <c r="K37" s="10" t="s">
        <v>15</v>
      </c>
      <c r="L37" s="25">
        <v>0</v>
      </c>
      <c r="M37" s="25">
        <v>0</v>
      </c>
      <c r="N37" s="25">
        <v>0</v>
      </c>
      <c r="O37" s="25">
        <v>0</v>
      </c>
    </row>
    <row r="38" spans="1:15" x14ac:dyDescent="0.3">
      <c r="A38" s="11" t="s">
        <v>20</v>
      </c>
      <c r="B38" s="13">
        <f t="shared" si="1"/>
        <v>0</v>
      </c>
      <c r="C38" s="13">
        <f t="shared" si="1"/>
        <v>0</v>
      </c>
      <c r="D38" s="13">
        <f t="shared" si="1"/>
        <v>0</v>
      </c>
      <c r="E38" s="13">
        <f t="shared" si="2"/>
        <v>0</v>
      </c>
      <c r="K38" s="10" t="s">
        <v>17</v>
      </c>
      <c r="L38" s="25">
        <v>0</v>
      </c>
      <c r="M38" s="25">
        <v>0</v>
      </c>
      <c r="N38" s="25">
        <v>0</v>
      </c>
      <c r="O38" s="25">
        <v>0</v>
      </c>
    </row>
    <row r="39" spans="1:15" x14ac:dyDescent="0.3">
      <c r="A39" s="11" t="s">
        <v>89</v>
      </c>
      <c r="B39" s="13">
        <f t="shared" ref="B39:D39" si="3">B26*B13</f>
        <v>0</v>
      </c>
      <c r="C39" s="13">
        <f t="shared" si="3"/>
        <v>0</v>
      </c>
      <c r="D39" s="13">
        <f t="shared" si="3"/>
        <v>0</v>
      </c>
      <c r="E39" s="13">
        <f t="shared" si="2"/>
        <v>0</v>
      </c>
      <c r="K39" s="10" t="s">
        <v>19</v>
      </c>
      <c r="L39" s="25">
        <v>0</v>
      </c>
      <c r="M39" s="25">
        <v>0</v>
      </c>
      <c r="N39" s="25">
        <v>0</v>
      </c>
      <c r="O39" s="25">
        <v>0</v>
      </c>
    </row>
    <row r="40" spans="1:15" x14ac:dyDescent="0.3">
      <c r="A40" s="11" t="s">
        <v>90</v>
      </c>
      <c r="B40" s="13">
        <f t="shared" ref="B40:D40" si="4">B27*B14</f>
        <v>0</v>
      </c>
      <c r="C40" s="13">
        <f t="shared" si="4"/>
        <v>0</v>
      </c>
      <c r="D40" s="13">
        <f t="shared" si="4"/>
        <v>0</v>
      </c>
      <c r="E40" s="13">
        <f t="shared" si="2"/>
        <v>0</v>
      </c>
      <c r="K40" s="10" t="s">
        <v>20</v>
      </c>
      <c r="L40" s="25">
        <v>0</v>
      </c>
      <c r="M40" s="25">
        <v>0</v>
      </c>
      <c r="N40" s="25">
        <v>0</v>
      </c>
      <c r="O40" s="25">
        <v>0</v>
      </c>
    </row>
    <row r="41" spans="1:15" x14ac:dyDescent="0.3">
      <c r="A41" s="22" t="s">
        <v>42</v>
      </c>
      <c r="B41" s="23">
        <f>SUM(B33:B38)</f>
        <v>12000000</v>
      </c>
      <c r="C41" s="23">
        <f>SUM(C33:C38)</f>
        <v>11147302.333333336</v>
      </c>
      <c r="D41" s="23">
        <f>SUM(D33:D38)</f>
        <v>1300000</v>
      </c>
      <c r="E41" s="23">
        <f>SUM(E33:E40)</f>
        <v>24447302.333333336</v>
      </c>
      <c r="K41" s="10" t="s">
        <v>89</v>
      </c>
      <c r="L41" s="25">
        <v>0</v>
      </c>
      <c r="M41" s="25">
        <v>0</v>
      </c>
      <c r="N41" s="25">
        <v>0</v>
      </c>
      <c r="O41" s="25">
        <v>0</v>
      </c>
    </row>
    <row r="42" spans="1:15" x14ac:dyDescent="0.3">
      <c r="A42" s="6"/>
      <c r="B42" s="6"/>
      <c r="C42" s="6"/>
      <c r="D42" s="6"/>
      <c r="E42" s="6"/>
      <c r="K42" s="6" t="s">
        <v>101</v>
      </c>
      <c r="L42" s="6">
        <v>0</v>
      </c>
      <c r="M42" s="6">
        <v>0</v>
      </c>
      <c r="N42" s="6">
        <v>0</v>
      </c>
      <c r="O42" s="6">
        <v>0</v>
      </c>
    </row>
    <row r="43" spans="1:15" x14ac:dyDescent="0.3">
      <c r="A43" s="6"/>
      <c r="B43" s="6"/>
      <c r="C43" s="6"/>
      <c r="D43" s="15" t="s">
        <v>43</v>
      </c>
      <c r="E43" s="16">
        <f>E15-E41</f>
        <v>10313483.666666664</v>
      </c>
      <c r="K43" s="6" t="s">
        <v>34</v>
      </c>
      <c r="L43" s="36">
        <v>12000000</v>
      </c>
      <c r="M43" s="36">
        <v>11147302</v>
      </c>
      <c r="N43" s="36">
        <v>1300000</v>
      </c>
      <c r="O43" s="36">
        <v>24447302</v>
      </c>
    </row>
    <row r="44" spans="1:15" x14ac:dyDescent="0.3">
      <c r="A44" s="7" t="s">
        <v>44</v>
      </c>
      <c r="B44" s="6"/>
      <c r="C44" s="6"/>
      <c r="D44" s="6"/>
      <c r="E44" s="6"/>
    </row>
    <row r="45" spans="1:15" x14ac:dyDescent="0.3">
      <c r="A45" s="9" t="s">
        <v>45</v>
      </c>
      <c r="B45" s="9" t="s">
        <v>46</v>
      </c>
      <c r="C45" s="9" t="s">
        <v>47</v>
      </c>
      <c r="D45" s="6"/>
      <c r="E45" s="6"/>
      <c r="K45" s="28" t="s">
        <v>51</v>
      </c>
    </row>
    <row r="46" spans="1:15" x14ac:dyDescent="0.3">
      <c r="A46" s="11" t="s">
        <v>48</v>
      </c>
      <c r="B46" s="13">
        <f>B28</f>
        <v>6000000</v>
      </c>
      <c r="C46" s="27">
        <v>6000000</v>
      </c>
      <c r="D46" s="6"/>
      <c r="E46" s="6"/>
      <c r="K46" s="29" t="s">
        <v>45</v>
      </c>
      <c r="L46" s="29" t="s">
        <v>53</v>
      </c>
    </row>
    <row r="47" spans="1:15" x14ac:dyDescent="0.3">
      <c r="A47" s="11" t="s">
        <v>49</v>
      </c>
      <c r="B47" s="13">
        <f>C28</f>
        <v>5000000</v>
      </c>
      <c r="C47" s="27">
        <v>5000000</v>
      </c>
      <c r="D47" s="6"/>
      <c r="E47" s="6"/>
      <c r="K47" s="31" t="s">
        <v>66</v>
      </c>
      <c r="L47" s="31" t="s">
        <v>56</v>
      </c>
    </row>
    <row r="48" spans="1:15" x14ac:dyDescent="0.3">
      <c r="A48" s="11" t="s">
        <v>50</v>
      </c>
      <c r="B48" s="13">
        <f>D28</f>
        <v>1000000</v>
      </c>
      <c r="C48" s="27">
        <v>1000000</v>
      </c>
      <c r="D48" s="6"/>
      <c r="E48" s="6"/>
      <c r="K48" s="31" t="s">
        <v>55</v>
      </c>
      <c r="L48" s="31" t="s">
        <v>56</v>
      </c>
    </row>
    <row r="49" spans="1:13" x14ac:dyDescent="0.3">
      <c r="A49" s="11" t="s">
        <v>35</v>
      </c>
      <c r="B49" s="13">
        <f>E28</f>
        <v>12000000</v>
      </c>
      <c r="C49" s="13">
        <f>SUM(C46:C48)</f>
        <v>12000000</v>
      </c>
      <c r="D49" s="6"/>
      <c r="E49" s="6"/>
      <c r="K49" s="31" t="s">
        <v>102</v>
      </c>
      <c r="L49" s="31" t="s">
        <v>56</v>
      </c>
    </row>
    <row r="50" spans="1:13" x14ac:dyDescent="0.3">
      <c r="A50" s="11" t="s">
        <v>52</v>
      </c>
      <c r="B50" s="13">
        <f t="shared" ref="B50:B57" si="5">E33</f>
        <v>13767628</v>
      </c>
      <c r="C50" s="13">
        <v>13767628</v>
      </c>
      <c r="D50" s="6"/>
      <c r="E50" s="6"/>
      <c r="K50" s="31" t="s">
        <v>35</v>
      </c>
      <c r="L50" s="31" t="s">
        <v>56</v>
      </c>
    </row>
    <row r="51" spans="1:13" x14ac:dyDescent="0.3">
      <c r="A51" s="11" t="s">
        <v>54</v>
      </c>
      <c r="B51" s="30">
        <f t="shared" si="5"/>
        <v>10679674.333333336</v>
      </c>
      <c r="C51" s="13">
        <v>11044068</v>
      </c>
      <c r="D51" s="6"/>
      <c r="E51" s="6"/>
      <c r="K51" s="31" t="s">
        <v>58</v>
      </c>
      <c r="L51" s="31" t="s">
        <v>59</v>
      </c>
    </row>
    <row r="52" spans="1:13" x14ac:dyDescent="0.3">
      <c r="A52" s="11" t="s">
        <v>57</v>
      </c>
      <c r="B52" s="13">
        <f t="shared" si="5"/>
        <v>0</v>
      </c>
      <c r="C52" s="13">
        <v>3160555</v>
      </c>
      <c r="D52" s="6"/>
      <c r="E52" s="6"/>
    </row>
    <row r="53" spans="1:13" x14ac:dyDescent="0.3">
      <c r="A53" s="11" t="s">
        <v>17</v>
      </c>
      <c r="B53" s="30">
        <f t="shared" si="5"/>
        <v>0</v>
      </c>
      <c r="C53" s="13">
        <v>1615518</v>
      </c>
      <c r="D53" s="6"/>
      <c r="E53" s="6"/>
      <c r="K53" s="21" t="s">
        <v>65</v>
      </c>
    </row>
    <row r="54" spans="1:13" x14ac:dyDescent="0.3">
      <c r="A54" s="11" t="s">
        <v>19</v>
      </c>
      <c r="B54" s="30">
        <f t="shared" si="5"/>
        <v>0</v>
      </c>
      <c r="C54" s="13">
        <v>2709918</v>
      </c>
      <c r="K54" s="21" t="s">
        <v>45</v>
      </c>
      <c r="L54" s="21" t="s">
        <v>53</v>
      </c>
    </row>
    <row r="55" spans="1:13" x14ac:dyDescent="0.3">
      <c r="A55" s="11" t="s">
        <v>20</v>
      </c>
      <c r="B55" s="30">
        <f t="shared" si="5"/>
        <v>0</v>
      </c>
      <c r="C55" s="13">
        <v>1425304</v>
      </c>
      <c r="K55" s="6" t="s">
        <v>60</v>
      </c>
      <c r="L55" s="6" t="s">
        <v>103</v>
      </c>
    </row>
    <row r="56" spans="1:13" x14ac:dyDescent="0.3">
      <c r="A56" s="11" t="s">
        <v>89</v>
      </c>
      <c r="B56" s="30">
        <f t="shared" si="5"/>
        <v>0</v>
      </c>
      <c r="C56" s="13">
        <v>660687</v>
      </c>
      <c r="K56" s="6" t="s">
        <v>61</v>
      </c>
      <c r="L56" s="6" t="s">
        <v>104</v>
      </c>
    </row>
    <row r="57" spans="1:13" x14ac:dyDescent="0.3">
      <c r="A57" s="11" t="s">
        <v>90</v>
      </c>
      <c r="B57" s="30">
        <f t="shared" si="5"/>
        <v>0</v>
      </c>
      <c r="C57" s="13">
        <v>377108</v>
      </c>
      <c r="K57" s="6" t="s">
        <v>62</v>
      </c>
      <c r="L57" s="6" t="s">
        <v>104</v>
      </c>
    </row>
    <row r="58" spans="1:13" x14ac:dyDescent="0.3">
      <c r="A58" s="32"/>
      <c r="B58" s="33"/>
      <c r="K58" s="6" t="s">
        <v>63</v>
      </c>
      <c r="L58" s="6" t="s">
        <v>104</v>
      </c>
    </row>
    <row r="59" spans="1:13" x14ac:dyDescent="0.3">
      <c r="A59" s="32"/>
      <c r="B59" s="33"/>
      <c r="K59" s="6" t="s">
        <v>64</v>
      </c>
      <c r="L59" s="6" t="s">
        <v>104</v>
      </c>
    </row>
    <row r="60" spans="1:13" x14ac:dyDescent="0.3">
      <c r="A60" s="10" t="s">
        <v>114</v>
      </c>
      <c r="B60" s="31" t="s">
        <v>40</v>
      </c>
      <c r="C60" s="6" t="s">
        <v>115</v>
      </c>
      <c r="D60" s="6" t="s">
        <v>116</v>
      </c>
      <c r="K60" s="6" t="s">
        <v>105</v>
      </c>
      <c r="L60" s="6" t="s">
        <v>104</v>
      </c>
    </row>
    <row r="61" spans="1:13" x14ac:dyDescent="0.3">
      <c r="A61" s="10" t="s">
        <v>117</v>
      </c>
      <c r="B61" s="38">
        <v>24447302.333333336</v>
      </c>
      <c r="C61" s="36">
        <f>B61</f>
        <v>24447302.333333336</v>
      </c>
      <c r="D61" s="39">
        <f>B61/12000000</f>
        <v>2.0372751944444447</v>
      </c>
      <c r="K61" s="6" t="s">
        <v>106</v>
      </c>
      <c r="L61" s="6" t="s">
        <v>104</v>
      </c>
    </row>
    <row r="62" spans="1:13" x14ac:dyDescent="0.3">
      <c r="A62" s="10"/>
      <c r="B62" s="38"/>
      <c r="C62" s="36"/>
      <c r="D62" s="39"/>
    </row>
    <row r="63" spans="1:13" x14ac:dyDescent="0.3">
      <c r="A63" s="10"/>
      <c r="B63" s="38"/>
      <c r="C63" s="36"/>
      <c r="D63" s="39"/>
      <c r="K63" s="28" t="s">
        <v>67</v>
      </c>
      <c r="L63" s="28" t="s">
        <v>109</v>
      </c>
    </row>
    <row r="64" spans="1:13" x14ac:dyDescent="0.3">
      <c r="A64" s="10"/>
      <c r="B64" s="38"/>
      <c r="C64" s="36"/>
      <c r="D64" s="39"/>
      <c r="K64" s="34" t="s">
        <v>68</v>
      </c>
      <c r="L64" s="34" t="s">
        <v>110</v>
      </c>
      <c r="M64" s="37"/>
    </row>
    <row r="65" spans="1:13" x14ac:dyDescent="0.3">
      <c r="A65" s="10"/>
      <c r="B65" s="38"/>
      <c r="C65" s="36"/>
      <c r="D65" s="39"/>
      <c r="K65" s="34" t="s">
        <v>69</v>
      </c>
      <c r="L65" s="34" t="s">
        <v>111</v>
      </c>
      <c r="M65" s="37"/>
    </row>
    <row r="66" spans="1:13" x14ac:dyDescent="0.3">
      <c r="A66" s="6"/>
      <c r="B66" s="36"/>
      <c r="C66" s="36"/>
      <c r="D66" s="39"/>
      <c r="K66" s="34" t="s">
        <v>70</v>
      </c>
      <c r="L66" s="34" t="s">
        <v>112</v>
      </c>
      <c r="M66" s="37"/>
    </row>
    <row r="67" spans="1:13" x14ac:dyDescent="0.3">
      <c r="A67" s="6"/>
      <c r="B67" s="36"/>
      <c r="C67" s="36"/>
      <c r="D67" s="39"/>
      <c r="K67" s="34" t="s">
        <v>71</v>
      </c>
      <c r="L67" s="34" t="s">
        <v>113</v>
      </c>
      <c r="M67" s="37"/>
    </row>
    <row r="68" spans="1:13" x14ac:dyDescent="0.3">
      <c r="A68" s="6"/>
      <c r="B68" s="36"/>
      <c r="C68" s="36"/>
      <c r="D68" s="39"/>
      <c r="K68" s="34" t="s">
        <v>70</v>
      </c>
    </row>
    <row r="69" spans="1:13" x14ac:dyDescent="0.3">
      <c r="K69" s="34" t="s">
        <v>72</v>
      </c>
    </row>
    <row r="70" spans="1:13" x14ac:dyDescent="0.3">
      <c r="K70" s="34" t="s">
        <v>70</v>
      </c>
    </row>
    <row r="71" spans="1:13" x14ac:dyDescent="0.3">
      <c r="K71" s="34" t="s">
        <v>73</v>
      </c>
    </row>
    <row r="72" spans="1:13" x14ac:dyDescent="0.3">
      <c r="K72" s="34" t="s">
        <v>70</v>
      </c>
    </row>
    <row r="73" spans="1:13" x14ac:dyDescent="0.3">
      <c r="K73" s="34" t="s">
        <v>74</v>
      </c>
    </row>
    <row r="74" spans="1:13" x14ac:dyDescent="0.3">
      <c r="K74" s="34" t="s">
        <v>70</v>
      </c>
    </row>
    <row r="75" spans="1:13" x14ac:dyDescent="0.3">
      <c r="K75" s="34" t="s">
        <v>75</v>
      </c>
    </row>
    <row r="76" spans="1:13" x14ac:dyDescent="0.3">
      <c r="K76" s="34" t="s">
        <v>70</v>
      </c>
    </row>
    <row r="77" spans="1:13" x14ac:dyDescent="0.3">
      <c r="K77" s="34" t="s">
        <v>76</v>
      </c>
    </row>
    <row r="78" spans="1:13" x14ac:dyDescent="0.3">
      <c r="K78" s="34" t="s">
        <v>70</v>
      </c>
      <c r="L78"/>
    </row>
    <row r="79" spans="1:13" x14ac:dyDescent="0.3">
      <c r="K79" s="34" t="s">
        <v>77</v>
      </c>
      <c r="L79"/>
    </row>
    <row r="80" spans="1:13" x14ac:dyDescent="0.3">
      <c r="K80" s="34" t="s">
        <v>70</v>
      </c>
      <c r="L80"/>
    </row>
    <row r="81" spans="11:12" x14ac:dyDescent="0.3">
      <c r="K81" s="34" t="s">
        <v>78</v>
      </c>
      <c r="L81"/>
    </row>
    <row r="82" spans="11:12" x14ac:dyDescent="0.3">
      <c r="K82" s="34" t="s">
        <v>70</v>
      </c>
      <c r="L82"/>
    </row>
    <row r="83" spans="11:12" x14ac:dyDescent="0.3">
      <c r="K83" s="34" t="s">
        <v>79</v>
      </c>
      <c r="L83"/>
    </row>
    <row r="84" spans="11:12" x14ac:dyDescent="0.3">
      <c r="K84" s="34" t="s">
        <v>70</v>
      </c>
      <c r="L84"/>
    </row>
    <row r="85" spans="11:12" x14ac:dyDescent="0.3">
      <c r="K85" s="34" t="s">
        <v>80</v>
      </c>
      <c r="L85"/>
    </row>
    <row r="86" spans="11:12" x14ac:dyDescent="0.3">
      <c r="K86" s="34" t="s">
        <v>70</v>
      </c>
      <c r="L86"/>
    </row>
    <row r="87" spans="11:12" x14ac:dyDescent="0.3">
      <c r="K87" s="34" t="s">
        <v>81</v>
      </c>
      <c r="L87"/>
    </row>
    <row r="88" spans="11:12" x14ac:dyDescent="0.3">
      <c r="K88" s="34" t="s">
        <v>70</v>
      </c>
      <c r="L88"/>
    </row>
    <row r="89" spans="11:12" x14ac:dyDescent="0.3">
      <c r="K89" s="34" t="s">
        <v>82</v>
      </c>
    </row>
    <row r="90" spans="11:12" x14ac:dyDescent="0.3">
      <c r="K90" s="34" t="s">
        <v>70</v>
      </c>
    </row>
    <row r="91" spans="11:12" x14ac:dyDescent="0.3">
      <c r="K91" s="34" t="s">
        <v>83</v>
      </c>
    </row>
    <row r="92" spans="11:12" x14ac:dyDescent="0.3">
      <c r="K92" s="34" t="s">
        <v>70</v>
      </c>
    </row>
    <row r="93" spans="11:12" x14ac:dyDescent="0.3">
      <c r="K93" s="34" t="s">
        <v>84</v>
      </c>
    </row>
    <row r="94" spans="11:12" x14ac:dyDescent="0.3">
      <c r="K94" s="34" t="s">
        <v>70</v>
      </c>
    </row>
    <row r="95" spans="11:12" x14ac:dyDescent="0.3">
      <c r="K95" s="34" t="s">
        <v>85</v>
      </c>
    </row>
    <row r="96" spans="11:12" x14ac:dyDescent="0.3">
      <c r="K96" s="34" t="s">
        <v>70</v>
      </c>
    </row>
    <row r="97" spans="11:11" x14ac:dyDescent="0.3">
      <c r="K97" s="34" t="s">
        <v>86</v>
      </c>
    </row>
    <row r="98" spans="11:11" x14ac:dyDescent="0.3">
      <c r="K98" s="34" t="s">
        <v>70</v>
      </c>
    </row>
    <row r="99" spans="11:11" x14ac:dyDescent="0.3">
      <c r="K99" s="34" t="s">
        <v>87</v>
      </c>
    </row>
    <row r="100" spans="11:11" x14ac:dyDescent="0.3">
      <c r="K100" s="34" t="s">
        <v>70</v>
      </c>
    </row>
    <row r="101" spans="11:11" x14ac:dyDescent="0.3">
      <c r="K101" s="34" t="s">
        <v>107</v>
      </c>
    </row>
    <row r="102" spans="11:11" x14ac:dyDescent="0.3">
      <c r="K102" s="34" t="s">
        <v>70</v>
      </c>
    </row>
    <row r="103" spans="11:11" x14ac:dyDescent="0.3">
      <c r="K103" s="34" t="s">
        <v>108</v>
      </c>
    </row>
  </sheetData>
  <scenarios current="0">
    <scenario name="S2 1.5M -&gt; 2.5M" count="9" user="Anil Jacob" comment="Created by Anil Jacob on 5/15/2026">
      <inputCells r="B20" val="2500000" numFmtId="3"/>
      <inputCells r="C20" val="131859.166666666" numFmtId="3"/>
      <inputCells r="D20" val="0" numFmtId="3"/>
      <inputCells r="B21" val="0" numFmtId="3"/>
      <inputCells r="C21" val="1483384.09090909" numFmtId="3"/>
      <inputCells r="D21" val="0" numFmtId="3"/>
      <inputCells r="B22" val="0" numFmtId="3"/>
      <inputCells r="C22" val="184756.742424243" numFmtId="3"/>
      <inputCells r="D22" val="700000" numFmtId="3"/>
    </scenario>
  </scenario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115E-D148-47A4-9382-402B447ADB91}">
  <sheetPr>
    <tabColor theme="6" tint="-0.249977111117893"/>
  </sheetPr>
  <dimension ref="A1:P103"/>
  <sheetViews>
    <sheetView tabSelected="1" topLeftCell="A3" zoomScale="80" zoomScaleNormal="80" workbookViewId="0"/>
  </sheetViews>
  <sheetFormatPr defaultRowHeight="16.5" x14ac:dyDescent="0.3"/>
  <cols>
    <col min="1" max="1" width="43.7109375" style="2" customWidth="1"/>
    <col min="2" max="2" width="18" style="2" customWidth="1"/>
    <col min="3" max="4" width="20" style="2" customWidth="1"/>
    <col min="5" max="5" width="22" style="2" customWidth="1"/>
    <col min="6" max="10" width="9.140625" style="2"/>
    <col min="11" max="11" width="35.28515625" style="2" bestFit="1" customWidth="1"/>
    <col min="12" max="12" width="19.28515625" style="2" customWidth="1"/>
    <col min="13" max="13" width="16.28515625" style="2" bestFit="1" customWidth="1"/>
    <col min="14" max="14" width="16.5703125" style="2" bestFit="1" customWidth="1"/>
    <col min="15" max="15" width="20.5703125" style="2" bestFit="1" customWidth="1"/>
    <col min="16" max="16" width="16.28515625" style="2" bestFit="1" customWidth="1"/>
    <col min="17" max="17" width="8.42578125" style="2" customWidth="1"/>
    <col min="18" max="18" width="20.5703125" style="2" bestFit="1" customWidth="1"/>
    <col min="19" max="16384" width="9.140625" style="2"/>
  </cols>
  <sheetData>
    <row r="1" spans="1:16" ht="25.5" x14ac:dyDescent="0.5">
      <c r="A1" s="1" t="s">
        <v>0</v>
      </c>
    </row>
    <row r="3" spans="1:16" ht="369" customHeight="1" x14ac:dyDescent="0.3">
      <c r="A3" s="3" t="s">
        <v>88</v>
      </c>
      <c r="K3" s="4"/>
      <c r="L3" s="4"/>
    </row>
    <row r="4" spans="1:16" x14ac:dyDescent="0.3">
      <c r="K4" s="5" t="s">
        <v>124</v>
      </c>
      <c r="L4" s="5" t="s">
        <v>125</v>
      </c>
      <c r="M4" s="6"/>
    </row>
    <row r="5" spans="1:16" x14ac:dyDescent="0.3">
      <c r="A5" s="7" t="s">
        <v>2</v>
      </c>
      <c r="B5" s="6"/>
      <c r="C5" s="6"/>
      <c r="D5" s="6"/>
      <c r="E5" s="6"/>
      <c r="K5" s="8" t="s">
        <v>3</v>
      </c>
      <c r="L5" s="8" t="s">
        <v>4</v>
      </c>
      <c r="M5" s="6"/>
    </row>
    <row r="6" spans="1:16" x14ac:dyDescent="0.3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K6" s="10" t="s">
        <v>10</v>
      </c>
      <c r="L6" s="10" t="s">
        <v>123</v>
      </c>
      <c r="M6" s="6"/>
    </row>
    <row r="7" spans="1:16" x14ac:dyDescent="0.3">
      <c r="A7" s="11" t="s">
        <v>11</v>
      </c>
      <c r="B7" s="12">
        <v>2</v>
      </c>
      <c r="C7" s="12">
        <v>2.4</v>
      </c>
      <c r="D7" s="12">
        <v>1.4</v>
      </c>
      <c r="E7" s="13">
        <v>13767628</v>
      </c>
      <c r="K7" s="10" t="s">
        <v>12</v>
      </c>
      <c r="L7" s="10" t="s">
        <v>126</v>
      </c>
      <c r="M7" s="6"/>
    </row>
    <row r="8" spans="1:16" x14ac:dyDescent="0.3">
      <c r="A8" s="11" t="s">
        <v>13</v>
      </c>
      <c r="B8" s="12">
        <v>1.7</v>
      </c>
      <c r="C8" s="12">
        <v>2.2000000000000002</v>
      </c>
      <c r="D8" s="12">
        <v>1.3</v>
      </c>
      <c r="E8" s="13">
        <v>11044068</v>
      </c>
      <c r="K8" s="10" t="s">
        <v>14</v>
      </c>
      <c r="L8" s="10" t="s">
        <v>127</v>
      </c>
      <c r="M8" s="6"/>
    </row>
    <row r="9" spans="1:16" x14ac:dyDescent="0.3">
      <c r="A9" s="11" t="s">
        <v>15</v>
      </c>
      <c r="B9" s="12">
        <v>1.5</v>
      </c>
      <c r="C9" s="12">
        <v>2</v>
      </c>
      <c r="D9" s="12">
        <v>1.2</v>
      </c>
      <c r="E9" s="13">
        <v>3160555</v>
      </c>
      <c r="K9" s="10" t="s">
        <v>16</v>
      </c>
      <c r="L9" s="14" t="s">
        <v>128</v>
      </c>
      <c r="M9" s="6"/>
    </row>
    <row r="10" spans="1:16" x14ac:dyDescent="0.3">
      <c r="A10" s="11" t="s">
        <v>17</v>
      </c>
      <c r="B10" s="12">
        <v>1.6</v>
      </c>
      <c r="C10" s="12">
        <v>2.1</v>
      </c>
      <c r="D10" s="12">
        <v>1.2</v>
      </c>
      <c r="E10" s="13">
        <v>1615518</v>
      </c>
      <c r="K10" s="10" t="s">
        <v>18</v>
      </c>
      <c r="L10" s="14">
        <v>34760786</v>
      </c>
      <c r="M10" s="6"/>
      <c r="N10" s="6"/>
      <c r="O10" s="6"/>
      <c r="P10" s="6"/>
    </row>
    <row r="11" spans="1:16" x14ac:dyDescent="0.3">
      <c r="A11" s="11" t="s">
        <v>19</v>
      </c>
      <c r="B11" s="12">
        <v>1.8</v>
      </c>
      <c r="C11" s="12">
        <v>2</v>
      </c>
      <c r="D11" s="12">
        <v>1.3</v>
      </c>
      <c r="E11" s="13">
        <v>2709918</v>
      </c>
      <c r="K11" s="10" t="s">
        <v>96</v>
      </c>
      <c r="L11" s="14">
        <v>18000000</v>
      </c>
      <c r="M11" s="6"/>
    </row>
    <row r="12" spans="1:16" x14ac:dyDescent="0.3">
      <c r="A12" s="11" t="s">
        <v>20</v>
      </c>
      <c r="B12" s="12">
        <v>1.6</v>
      </c>
      <c r="C12" s="12">
        <v>2.1</v>
      </c>
      <c r="D12" s="12">
        <v>1.2</v>
      </c>
      <c r="E12" s="13">
        <v>1425304</v>
      </c>
      <c r="K12" s="10" t="s">
        <v>21</v>
      </c>
      <c r="L12" s="14">
        <v>10500000</v>
      </c>
      <c r="M12" s="6"/>
    </row>
    <row r="13" spans="1:16" x14ac:dyDescent="0.3">
      <c r="A13" s="11" t="s">
        <v>89</v>
      </c>
      <c r="B13" s="12">
        <v>1.4</v>
      </c>
      <c r="C13" s="12">
        <v>1.9</v>
      </c>
      <c r="D13" s="12">
        <v>1.1000000000000001</v>
      </c>
      <c r="E13" s="13">
        <v>660687</v>
      </c>
      <c r="K13" s="10" t="s">
        <v>23</v>
      </c>
      <c r="L13" s="14">
        <v>6500000</v>
      </c>
      <c r="M13" s="6"/>
    </row>
    <row r="14" spans="1:16" x14ac:dyDescent="0.3">
      <c r="A14" s="11" t="s">
        <v>90</v>
      </c>
      <c r="B14" s="12">
        <v>1.5</v>
      </c>
      <c r="C14" s="12">
        <v>2</v>
      </c>
      <c r="D14" s="12">
        <v>1.1000000000000001</v>
      </c>
      <c r="E14" s="13">
        <v>377108</v>
      </c>
      <c r="K14" s="10" t="s">
        <v>24</v>
      </c>
      <c r="L14" s="14">
        <v>1000000</v>
      </c>
      <c r="M14" s="6"/>
    </row>
    <row r="15" spans="1:16" x14ac:dyDescent="0.3">
      <c r="A15" s="6"/>
      <c r="B15" s="6"/>
      <c r="C15" s="6"/>
      <c r="D15" s="15" t="s">
        <v>22</v>
      </c>
      <c r="E15" s="16">
        <f>SUM(E7:E14)</f>
        <v>34760786</v>
      </c>
      <c r="K15" s="10" t="s">
        <v>25</v>
      </c>
      <c r="L15" s="14">
        <v>34760786</v>
      </c>
      <c r="M15" s="6"/>
    </row>
    <row r="16" spans="1:16" x14ac:dyDescent="0.3">
      <c r="A16" s="6"/>
      <c r="B16" s="6"/>
      <c r="C16" s="6"/>
      <c r="D16" s="15"/>
      <c r="E16" s="16"/>
      <c r="K16" s="17" t="s">
        <v>97</v>
      </c>
      <c r="L16" s="40">
        <v>0</v>
      </c>
      <c r="M16" s="19"/>
    </row>
    <row r="17" spans="1:15" x14ac:dyDescent="0.3">
      <c r="A17" s="6"/>
      <c r="B17" s="6"/>
      <c r="C17" s="6"/>
      <c r="D17" s="6"/>
      <c r="E17" s="6"/>
      <c r="K17" s="17" t="s">
        <v>98</v>
      </c>
      <c r="L17" s="41">
        <v>1</v>
      </c>
      <c r="M17" s="19"/>
    </row>
    <row r="18" spans="1:15" x14ac:dyDescent="0.3">
      <c r="A18" s="7" t="s">
        <v>26</v>
      </c>
      <c r="B18" s="6"/>
      <c r="C18" s="6"/>
      <c r="D18" s="6"/>
      <c r="E18" s="6"/>
      <c r="K18" s="17" t="s">
        <v>31</v>
      </c>
      <c r="L18" s="42" t="s">
        <v>129</v>
      </c>
      <c r="M18" s="19"/>
    </row>
    <row r="19" spans="1:15" x14ac:dyDescent="0.3">
      <c r="A19" s="9" t="s">
        <v>5</v>
      </c>
      <c r="B19" s="9" t="s">
        <v>27</v>
      </c>
      <c r="C19" s="9" t="s">
        <v>28</v>
      </c>
      <c r="D19" s="9" t="s">
        <v>29</v>
      </c>
      <c r="E19" s="9" t="s">
        <v>30</v>
      </c>
      <c r="K19" s="20" t="s">
        <v>32</v>
      </c>
      <c r="L19" s="35" t="s">
        <v>130</v>
      </c>
      <c r="M19" s="19"/>
    </row>
    <row r="20" spans="1:15" x14ac:dyDescent="0.3">
      <c r="A20" s="11" t="s">
        <v>11</v>
      </c>
      <c r="B20" s="13">
        <v>5525127.0909090899</v>
      </c>
      <c r="C20" s="13">
        <v>1132239.0909090918</v>
      </c>
      <c r="D20" s="13">
        <v>0</v>
      </c>
      <c r="E20" s="13">
        <f>SUM(B20:D20)</f>
        <v>6657366.1818181816</v>
      </c>
      <c r="K20" s="17"/>
      <c r="L20" s="18"/>
      <c r="M20" s="19"/>
    </row>
    <row r="21" spans="1:15" x14ac:dyDescent="0.3">
      <c r="A21" s="11" t="s">
        <v>13</v>
      </c>
      <c r="B21" s="13">
        <v>0</v>
      </c>
      <c r="C21" s="13">
        <v>5020030.9090909082</v>
      </c>
      <c r="D21" s="13">
        <v>0</v>
      </c>
      <c r="E21" s="13">
        <f>SUM(B21:D21)</f>
        <v>5020030.9090909082</v>
      </c>
      <c r="K21" s="21" t="s">
        <v>33</v>
      </c>
      <c r="L21" s="17"/>
      <c r="M21" s="19"/>
    </row>
    <row r="22" spans="1:15" x14ac:dyDescent="0.3">
      <c r="A22" s="11" t="s">
        <v>15</v>
      </c>
      <c r="B22" s="13">
        <v>1317443.8257575769</v>
      </c>
      <c r="C22" s="13">
        <v>0</v>
      </c>
      <c r="D22" s="13">
        <v>986991.05113636237</v>
      </c>
      <c r="E22" s="13">
        <f>SUM(B22:D22)</f>
        <v>2304434.8768939395</v>
      </c>
      <c r="K22" s="8" t="s">
        <v>5</v>
      </c>
      <c r="L22" s="24" t="s">
        <v>27</v>
      </c>
      <c r="M22" s="24" t="s">
        <v>28</v>
      </c>
      <c r="N22" s="24" t="s">
        <v>29</v>
      </c>
      <c r="O22" s="24" t="s">
        <v>35</v>
      </c>
    </row>
    <row r="23" spans="1:15" x14ac:dyDescent="0.3">
      <c r="A23" s="11" t="s">
        <v>17</v>
      </c>
      <c r="B23" s="13">
        <v>1009698.75</v>
      </c>
      <c r="C23" s="13">
        <v>0</v>
      </c>
      <c r="D23" s="13">
        <v>0</v>
      </c>
      <c r="E23" s="13">
        <f t="shared" ref="E23:E27" si="0">SUM(B23:D23)</f>
        <v>1009698.75</v>
      </c>
      <c r="K23" s="10" t="s">
        <v>11</v>
      </c>
      <c r="L23" s="25">
        <v>5525127</v>
      </c>
      <c r="M23" s="25">
        <v>1132239</v>
      </c>
      <c r="N23" s="26">
        <v>0</v>
      </c>
      <c r="O23" s="25">
        <v>6657366</v>
      </c>
    </row>
    <row r="24" spans="1:15" x14ac:dyDescent="0.3">
      <c r="A24" s="11" t="s">
        <v>19</v>
      </c>
      <c r="B24" s="13">
        <v>1505510</v>
      </c>
      <c r="C24" s="13">
        <v>0</v>
      </c>
      <c r="D24" s="13">
        <v>0</v>
      </c>
      <c r="E24" s="13">
        <f t="shared" si="0"/>
        <v>1505510</v>
      </c>
      <c r="K24" s="10" t="s">
        <v>13</v>
      </c>
      <c r="L24" s="26">
        <v>0</v>
      </c>
      <c r="M24" s="25">
        <v>5020031</v>
      </c>
      <c r="N24" s="25">
        <v>0</v>
      </c>
      <c r="O24" s="25">
        <v>5020031</v>
      </c>
    </row>
    <row r="25" spans="1:15" x14ac:dyDescent="0.3">
      <c r="A25" s="11" t="s">
        <v>20</v>
      </c>
      <c r="B25" s="13">
        <v>890815</v>
      </c>
      <c r="C25" s="13">
        <v>0</v>
      </c>
      <c r="D25" s="13">
        <v>0</v>
      </c>
      <c r="E25" s="13">
        <f t="shared" si="0"/>
        <v>890815</v>
      </c>
      <c r="K25" s="10" t="s">
        <v>15</v>
      </c>
      <c r="L25" s="25">
        <v>1317444</v>
      </c>
      <c r="M25" s="25">
        <v>0</v>
      </c>
      <c r="N25" s="25">
        <v>986991</v>
      </c>
      <c r="O25" s="25">
        <v>2304435</v>
      </c>
    </row>
    <row r="26" spans="1:15" x14ac:dyDescent="0.3">
      <c r="A26" s="11" t="s">
        <v>89</v>
      </c>
      <c r="B26" s="13">
        <v>0</v>
      </c>
      <c r="C26" s="13">
        <v>347730</v>
      </c>
      <c r="D26" s="13">
        <v>0</v>
      </c>
      <c r="E26" s="13">
        <f t="shared" si="0"/>
        <v>347730</v>
      </c>
      <c r="K26" s="10" t="s">
        <v>17</v>
      </c>
      <c r="L26" s="25">
        <v>1009699</v>
      </c>
      <c r="M26" s="25">
        <v>0</v>
      </c>
      <c r="N26" s="25">
        <v>0</v>
      </c>
      <c r="O26" s="25">
        <v>1009699</v>
      </c>
    </row>
    <row r="27" spans="1:15" x14ac:dyDescent="0.3">
      <c r="A27" s="11" t="s">
        <v>90</v>
      </c>
      <c r="B27" s="13">
        <v>251405.33333333331</v>
      </c>
      <c r="C27" s="13">
        <v>0</v>
      </c>
      <c r="D27" s="13">
        <v>0</v>
      </c>
      <c r="E27" s="13">
        <f t="shared" si="0"/>
        <v>251405.33333333331</v>
      </c>
      <c r="K27" s="10" t="s">
        <v>19</v>
      </c>
      <c r="L27" s="25">
        <v>1505510</v>
      </c>
      <c r="M27" s="25">
        <v>0</v>
      </c>
      <c r="N27" s="25">
        <v>0</v>
      </c>
      <c r="O27" s="25">
        <v>1505510</v>
      </c>
    </row>
    <row r="28" spans="1:15" x14ac:dyDescent="0.3">
      <c r="A28" s="22" t="s">
        <v>34</v>
      </c>
      <c r="B28" s="23">
        <f>SUM(B20:B27)</f>
        <v>10500000.000000002</v>
      </c>
      <c r="C28" s="23">
        <f>SUM(C20:C27)</f>
        <v>6500000</v>
      </c>
      <c r="D28" s="23">
        <f>SUM(D20:D27)</f>
        <v>986991.05113636237</v>
      </c>
      <c r="E28" s="23">
        <f>SUM(E20:E27)</f>
        <v>17986991.051136363</v>
      </c>
      <c r="K28" s="10" t="s">
        <v>20</v>
      </c>
      <c r="L28" s="25">
        <v>890815</v>
      </c>
      <c r="M28" s="25">
        <v>0</v>
      </c>
      <c r="N28" s="25">
        <v>0</v>
      </c>
      <c r="O28" s="25">
        <v>890815</v>
      </c>
    </row>
    <row r="29" spans="1:15" x14ac:dyDescent="0.3">
      <c r="A29" s="6"/>
      <c r="B29" s="6"/>
      <c r="C29" s="6"/>
      <c r="D29" s="6"/>
      <c r="E29" s="6"/>
      <c r="K29" s="10" t="s">
        <v>89</v>
      </c>
      <c r="L29" s="25">
        <v>0</v>
      </c>
      <c r="M29" s="25">
        <v>347730</v>
      </c>
      <c r="N29" s="25">
        <v>0</v>
      </c>
      <c r="O29" s="25">
        <v>347730</v>
      </c>
    </row>
    <row r="30" spans="1:15" x14ac:dyDescent="0.3">
      <c r="A30" s="6"/>
      <c r="B30" s="6"/>
      <c r="C30" s="6"/>
      <c r="D30" s="6"/>
      <c r="E30" s="6"/>
      <c r="K30" s="6" t="s">
        <v>101</v>
      </c>
      <c r="L30" s="36">
        <v>251405</v>
      </c>
      <c r="M30" s="6">
        <v>0</v>
      </c>
      <c r="N30" s="6">
        <v>0</v>
      </c>
      <c r="O30" s="36">
        <v>251405</v>
      </c>
    </row>
    <row r="31" spans="1:15" x14ac:dyDescent="0.3">
      <c r="A31" s="7" t="s">
        <v>36</v>
      </c>
      <c r="B31" s="6"/>
      <c r="C31" s="6"/>
      <c r="D31" s="6"/>
      <c r="E31" s="6"/>
      <c r="K31" s="6" t="s">
        <v>34</v>
      </c>
      <c r="L31" s="36">
        <v>10500000</v>
      </c>
      <c r="M31" s="36">
        <v>6500000</v>
      </c>
      <c r="N31" s="36">
        <v>986991</v>
      </c>
      <c r="O31" s="36">
        <v>17986991</v>
      </c>
    </row>
    <row r="32" spans="1:15" x14ac:dyDescent="0.3">
      <c r="A32" s="9" t="s">
        <v>5</v>
      </c>
      <c r="B32" s="9" t="s">
        <v>37</v>
      </c>
      <c r="C32" s="9" t="s">
        <v>38</v>
      </c>
      <c r="D32" s="9" t="s">
        <v>39</v>
      </c>
      <c r="E32" s="9" t="s">
        <v>40</v>
      </c>
    </row>
    <row r="33" spans="1:15" x14ac:dyDescent="0.3">
      <c r="A33" s="11" t="s">
        <v>11</v>
      </c>
      <c r="B33" s="13">
        <f t="shared" ref="B33:D40" si="1">B20*B7</f>
        <v>11050254.18181818</v>
      </c>
      <c r="C33" s="13">
        <f t="shared" si="1"/>
        <v>2717373.8181818202</v>
      </c>
      <c r="D33" s="13">
        <f t="shared" si="1"/>
        <v>0</v>
      </c>
      <c r="E33" s="13">
        <f>SUM(B33:D33)</f>
        <v>13767628</v>
      </c>
      <c r="K33" s="21" t="s">
        <v>41</v>
      </c>
      <c r="L33" s="6"/>
      <c r="M33" s="6"/>
      <c r="N33" s="6"/>
      <c r="O33" s="6"/>
    </row>
    <row r="34" spans="1:15" x14ac:dyDescent="0.3">
      <c r="A34" s="11" t="s">
        <v>13</v>
      </c>
      <c r="B34" s="13">
        <f t="shared" si="1"/>
        <v>0</v>
      </c>
      <c r="C34" s="13">
        <f t="shared" si="1"/>
        <v>11044067.999999998</v>
      </c>
      <c r="D34" s="13">
        <f t="shared" si="1"/>
        <v>0</v>
      </c>
      <c r="E34" s="13">
        <f>SUM(B34:D34)</f>
        <v>11044067.999999998</v>
      </c>
      <c r="K34" s="8" t="s">
        <v>5</v>
      </c>
      <c r="L34" s="24" t="s">
        <v>37</v>
      </c>
      <c r="M34" s="24" t="s">
        <v>38</v>
      </c>
      <c r="N34" s="24" t="s">
        <v>39</v>
      </c>
      <c r="O34" s="24" t="s">
        <v>40</v>
      </c>
    </row>
    <row r="35" spans="1:15" x14ac:dyDescent="0.3">
      <c r="A35" s="11" t="s">
        <v>15</v>
      </c>
      <c r="B35" s="13">
        <f t="shared" si="1"/>
        <v>1976165.7386363652</v>
      </c>
      <c r="C35" s="13">
        <f t="shared" si="1"/>
        <v>0</v>
      </c>
      <c r="D35" s="13">
        <f t="shared" si="1"/>
        <v>1184389.2613636348</v>
      </c>
      <c r="E35" s="13">
        <f>SUM(B35:D35)</f>
        <v>3160555</v>
      </c>
      <c r="K35" s="10" t="s">
        <v>11</v>
      </c>
      <c r="L35" s="25">
        <v>11050254</v>
      </c>
      <c r="M35" s="25">
        <v>2717374</v>
      </c>
      <c r="N35" s="26">
        <v>0</v>
      </c>
      <c r="O35" s="25">
        <v>13767628</v>
      </c>
    </row>
    <row r="36" spans="1:15" x14ac:dyDescent="0.3">
      <c r="A36" s="11" t="s">
        <v>17</v>
      </c>
      <c r="B36" s="13">
        <f t="shared" si="1"/>
        <v>1615518</v>
      </c>
      <c r="C36" s="13">
        <f t="shared" si="1"/>
        <v>0</v>
      </c>
      <c r="D36" s="13">
        <f t="shared" si="1"/>
        <v>0</v>
      </c>
      <c r="E36" s="13">
        <f t="shared" ref="E36:E40" si="2">SUM(B36:D36)</f>
        <v>1615518</v>
      </c>
      <c r="K36" s="10" t="s">
        <v>13</v>
      </c>
      <c r="L36" s="26">
        <v>0</v>
      </c>
      <c r="M36" s="25">
        <v>11044068</v>
      </c>
      <c r="N36" s="25">
        <v>0</v>
      </c>
      <c r="O36" s="25">
        <v>11044068</v>
      </c>
    </row>
    <row r="37" spans="1:15" x14ac:dyDescent="0.3">
      <c r="A37" s="11" t="s">
        <v>19</v>
      </c>
      <c r="B37" s="13">
        <f t="shared" si="1"/>
        <v>2709918</v>
      </c>
      <c r="C37" s="13">
        <f t="shared" si="1"/>
        <v>0</v>
      </c>
      <c r="D37" s="13">
        <f t="shared" si="1"/>
        <v>0</v>
      </c>
      <c r="E37" s="13">
        <f t="shared" si="2"/>
        <v>2709918</v>
      </c>
      <c r="K37" s="10" t="s">
        <v>15</v>
      </c>
      <c r="L37" s="25">
        <v>1976166</v>
      </c>
      <c r="M37" s="25">
        <v>0</v>
      </c>
      <c r="N37" s="25">
        <v>1184389</v>
      </c>
      <c r="O37" s="25">
        <v>3160555</v>
      </c>
    </row>
    <row r="38" spans="1:15" x14ac:dyDescent="0.3">
      <c r="A38" s="11" t="s">
        <v>20</v>
      </c>
      <c r="B38" s="13">
        <f t="shared" si="1"/>
        <v>1425304</v>
      </c>
      <c r="C38" s="13">
        <f t="shared" si="1"/>
        <v>0</v>
      </c>
      <c r="D38" s="13">
        <f t="shared" si="1"/>
        <v>0</v>
      </c>
      <c r="E38" s="13">
        <f t="shared" si="2"/>
        <v>1425304</v>
      </c>
      <c r="K38" s="10" t="s">
        <v>17</v>
      </c>
      <c r="L38" s="25">
        <v>1615518</v>
      </c>
      <c r="M38" s="25">
        <v>0</v>
      </c>
      <c r="N38" s="25">
        <v>0</v>
      </c>
      <c r="O38" s="25">
        <v>1615518</v>
      </c>
    </row>
    <row r="39" spans="1:15" x14ac:dyDescent="0.3">
      <c r="A39" s="11" t="s">
        <v>89</v>
      </c>
      <c r="B39" s="13">
        <f t="shared" si="1"/>
        <v>0</v>
      </c>
      <c r="C39" s="13">
        <f t="shared" si="1"/>
        <v>660687</v>
      </c>
      <c r="D39" s="13">
        <f t="shared" si="1"/>
        <v>0</v>
      </c>
      <c r="E39" s="13">
        <f t="shared" si="2"/>
        <v>660687</v>
      </c>
      <c r="K39" s="10" t="s">
        <v>19</v>
      </c>
      <c r="L39" s="25">
        <v>2709918</v>
      </c>
      <c r="M39" s="25">
        <v>0</v>
      </c>
      <c r="N39" s="25">
        <v>0</v>
      </c>
      <c r="O39" s="25">
        <v>2709918</v>
      </c>
    </row>
    <row r="40" spans="1:15" x14ac:dyDescent="0.3">
      <c r="A40" s="11" t="s">
        <v>90</v>
      </c>
      <c r="B40" s="13">
        <f t="shared" si="1"/>
        <v>377108</v>
      </c>
      <c r="C40" s="13">
        <f t="shared" si="1"/>
        <v>0</v>
      </c>
      <c r="D40" s="13">
        <f t="shared" si="1"/>
        <v>0</v>
      </c>
      <c r="E40" s="13">
        <f t="shared" si="2"/>
        <v>377108</v>
      </c>
      <c r="K40" s="10" t="s">
        <v>20</v>
      </c>
      <c r="L40" s="25">
        <v>1425304</v>
      </c>
      <c r="M40" s="25">
        <v>0</v>
      </c>
      <c r="N40" s="25">
        <v>0</v>
      </c>
      <c r="O40" s="25">
        <v>1425304</v>
      </c>
    </row>
    <row r="41" spans="1:15" x14ac:dyDescent="0.3">
      <c r="A41" s="22" t="s">
        <v>42</v>
      </c>
      <c r="B41" s="23">
        <f>SUM(B33:B38)</f>
        <v>18777159.920454547</v>
      </c>
      <c r="C41" s="23">
        <f>SUM(C33:C38)</f>
        <v>13761441.818181818</v>
      </c>
      <c r="D41" s="23">
        <f>SUM(D33:D38)</f>
        <v>1184389.2613636348</v>
      </c>
      <c r="E41" s="23">
        <f>SUM(E33:E40)</f>
        <v>34760786</v>
      </c>
      <c r="K41" s="10" t="s">
        <v>89</v>
      </c>
      <c r="L41" s="25">
        <v>0</v>
      </c>
      <c r="M41" s="25">
        <v>660687</v>
      </c>
      <c r="N41" s="25">
        <v>0</v>
      </c>
      <c r="O41" s="25">
        <v>660687</v>
      </c>
    </row>
    <row r="42" spans="1:15" x14ac:dyDescent="0.3">
      <c r="A42" s="6"/>
      <c r="B42" s="6"/>
      <c r="C42" s="6"/>
      <c r="D42" s="6"/>
      <c r="E42" s="6"/>
      <c r="K42" s="6" t="s">
        <v>101</v>
      </c>
      <c r="L42" s="36">
        <v>377108</v>
      </c>
      <c r="M42" s="6">
        <v>0</v>
      </c>
      <c r="N42" s="6">
        <v>0</v>
      </c>
      <c r="O42" s="36">
        <v>377108</v>
      </c>
    </row>
    <row r="43" spans="1:15" x14ac:dyDescent="0.3">
      <c r="A43" s="6"/>
      <c r="B43" s="6"/>
      <c r="C43" s="6"/>
      <c r="D43" s="15" t="s">
        <v>43</v>
      </c>
      <c r="E43" s="16">
        <f>E15-E41</f>
        <v>0</v>
      </c>
      <c r="K43" s="6" t="s">
        <v>34</v>
      </c>
      <c r="L43" s="36">
        <v>18777160</v>
      </c>
      <c r="M43" s="36">
        <v>13761442</v>
      </c>
      <c r="N43" s="36">
        <v>1184389</v>
      </c>
      <c r="O43" s="36">
        <v>34760786</v>
      </c>
    </row>
    <row r="44" spans="1:15" x14ac:dyDescent="0.3">
      <c r="A44" s="7" t="s">
        <v>44</v>
      </c>
      <c r="B44" s="6"/>
      <c r="C44" s="6"/>
      <c r="D44" s="6"/>
      <c r="E44" s="6"/>
    </row>
    <row r="45" spans="1:15" x14ac:dyDescent="0.3">
      <c r="A45" s="43" t="s">
        <v>45</v>
      </c>
      <c r="B45" s="43" t="s">
        <v>46</v>
      </c>
      <c r="C45" s="43" t="s">
        <v>47</v>
      </c>
      <c r="D45" s="6"/>
      <c r="E45" s="6"/>
      <c r="K45" s="28" t="s">
        <v>51</v>
      </c>
    </row>
    <row r="46" spans="1:15" x14ac:dyDescent="0.3">
      <c r="A46" s="48" t="s">
        <v>48</v>
      </c>
      <c r="B46" s="46">
        <f>B28</f>
        <v>10500000.000000002</v>
      </c>
      <c r="C46" s="49">
        <v>10500000</v>
      </c>
      <c r="D46" s="6"/>
      <c r="E46" s="6"/>
      <c r="K46" s="29" t="s">
        <v>45</v>
      </c>
      <c r="L46" s="29" t="s">
        <v>53</v>
      </c>
    </row>
    <row r="47" spans="1:15" x14ac:dyDescent="0.3">
      <c r="A47" s="48" t="s">
        <v>49</v>
      </c>
      <c r="B47" s="46">
        <f>C28</f>
        <v>6500000</v>
      </c>
      <c r="C47" s="49">
        <v>6500000</v>
      </c>
      <c r="D47" s="6"/>
      <c r="E47" s="6"/>
      <c r="K47" s="31" t="s">
        <v>66</v>
      </c>
      <c r="L47" s="31" t="s">
        <v>56</v>
      </c>
    </row>
    <row r="48" spans="1:15" x14ac:dyDescent="0.3">
      <c r="A48" s="48" t="s">
        <v>50</v>
      </c>
      <c r="B48" s="52">
        <f>D28</f>
        <v>986991.05113636237</v>
      </c>
      <c r="C48" s="49">
        <v>1000000</v>
      </c>
      <c r="D48" s="6"/>
      <c r="E48" s="6"/>
      <c r="K48" s="31" t="s">
        <v>55</v>
      </c>
      <c r="L48" s="31" t="s">
        <v>56</v>
      </c>
    </row>
    <row r="49" spans="1:13" x14ac:dyDescent="0.3">
      <c r="A49" s="48" t="s">
        <v>35</v>
      </c>
      <c r="B49" s="52">
        <f>E28</f>
        <v>17986991.051136363</v>
      </c>
      <c r="C49" s="50">
        <f>SUM(C46:C48)</f>
        <v>18000000</v>
      </c>
      <c r="D49" s="6"/>
      <c r="E49" s="6"/>
      <c r="K49" s="31" t="s">
        <v>61</v>
      </c>
      <c r="L49" s="31" t="s">
        <v>59</v>
      </c>
    </row>
    <row r="50" spans="1:13" x14ac:dyDescent="0.3">
      <c r="A50" s="48" t="s">
        <v>52</v>
      </c>
      <c r="B50" s="46">
        <f t="shared" ref="B50:B57" si="3">E33</f>
        <v>13767628</v>
      </c>
      <c r="C50" s="46">
        <v>13767628</v>
      </c>
      <c r="D50" s="6"/>
      <c r="E50" s="6"/>
      <c r="K50" s="31" t="s">
        <v>62</v>
      </c>
      <c r="L50" s="31" t="s">
        <v>59</v>
      </c>
    </row>
    <row r="51" spans="1:13" x14ac:dyDescent="0.3">
      <c r="A51" s="48" t="s">
        <v>54</v>
      </c>
      <c r="B51" s="51">
        <f t="shared" si="3"/>
        <v>11044067.999999998</v>
      </c>
      <c r="C51" s="46">
        <v>11044068</v>
      </c>
      <c r="D51" s="6"/>
      <c r="E51" s="6"/>
      <c r="K51" s="31" t="s">
        <v>63</v>
      </c>
      <c r="L51" s="31" t="s">
        <v>59</v>
      </c>
    </row>
    <row r="52" spans="1:13" x14ac:dyDescent="0.3">
      <c r="A52" s="48" t="s">
        <v>57</v>
      </c>
      <c r="B52" s="46">
        <f t="shared" si="3"/>
        <v>3160555</v>
      </c>
      <c r="C52" s="46">
        <v>3160555</v>
      </c>
      <c r="D52" s="6"/>
      <c r="E52" s="6"/>
      <c r="K52" s="31" t="s">
        <v>64</v>
      </c>
      <c r="L52" s="31" t="s">
        <v>59</v>
      </c>
    </row>
    <row r="53" spans="1:13" x14ac:dyDescent="0.3">
      <c r="A53" s="48" t="s">
        <v>17</v>
      </c>
      <c r="B53" s="51">
        <f t="shared" si="3"/>
        <v>1615518</v>
      </c>
      <c r="C53" s="46">
        <v>1615518</v>
      </c>
      <c r="D53" s="6"/>
      <c r="E53" s="6"/>
      <c r="K53" s="31" t="s">
        <v>105</v>
      </c>
      <c r="L53" s="31" t="s">
        <v>59</v>
      </c>
    </row>
    <row r="54" spans="1:13" x14ac:dyDescent="0.3">
      <c r="A54" s="48" t="s">
        <v>19</v>
      </c>
      <c r="B54" s="51">
        <f t="shared" si="3"/>
        <v>2709918</v>
      </c>
      <c r="C54" s="46">
        <v>2709918</v>
      </c>
      <c r="K54" s="31" t="s">
        <v>106</v>
      </c>
      <c r="L54" s="31" t="s">
        <v>59</v>
      </c>
    </row>
    <row r="55" spans="1:13" ht="28.5" x14ac:dyDescent="0.3">
      <c r="A55" s="48" t="s">
        <v>20</v>
      </c>
      <c r="B55" s="51">
        <f t="shared" si="3"/>
        <v>1425304</v>
      </c>
      <c r="C55" s="46">
        <v>1425304</v>
      </c>
      <c r="K55" s="31" t="s">
        <v>131</v>
      </c>
      <c r="L55" s="31" t="s">
        <v>132</v>
      </c>
    </row>
    <row r="56" spans="1:13" x14ac:dyDescent="0.3">
      <c r="A56" s="48" t="s">
        <v>89</v>
      </c>
      <c r="B56" s="51">
        <f t="shared" si="3"/>
        <v>660687</v>
      </c>
      <c r="C56" s="46">
        <v>660687</v>
      </c>
    </row>
    <row r="57" spans="1:13" x14ac:dyDescent="0.3">
      <c r="A57" s="48" t="s">
        <v>90</v>
      </c>
      <c r="B57" s="51">
        <f t="shared" si="3"/>
        <v>377108</v>
      </c>
      <c r="C57" s="46">
        <v>377108</v>
      </c>
      <c r="K57" s="21" t="s">
        <v>65</v>
      </c>
    </row>
    <row r="58" spans="1:13" x14ac:dyDescent="0.3">
      <c r="A58" s="32"/>
      <c r="B58" s="33"/>
      <c r="K58" s="21" t="s">
        <v>45</v>
      </c>
      <c r="L58" s="21" t="s">
        <v>53</v>
      </c>
    </row>
    <row r="59" spans="1:13" x14ac:dyDescent="0.3">
      <c r="A59" s="32"/>
      <c r="B59" s="33"/>
      <c r="K59" s="6" t="s">
        <v>102</v>
      </c>
      <c r="L59" s="6" t="s">
        <v>133</v>
      </c>
    </row>
    <row r="60" spans="1:13" x14ac:dyDescent="0.3">
      <c r="A60" s="43" t="s">
        <v>114</v>
      </c>
      <c r="B60" s="43" t="s">
        <v>40</v>
      </c>
      <c r="C60" s="43" t="s">
        <v>115</v>
      </c>
      <c r="D60" s="43" t="s">
        <v>119</v>
      </c>
      <c r="E60" s="43" t="s">
        <v>116</v>
      </c>
      <c r="K60" s="6" t="s">
        <v>35</v>
      </c>
      <c r="L60" s="6" t="s">
        <v>134</v>
      </c>
    </row>
    <row r="61" spans="1:13" x14ac:dyDescent="0.3">
      <c r="A61" s="44" t="s">
        <v>117</v>
      </c>
      <c r="B61" s="45">
        <v>24447302.333333336</v>
      </c>
      <c r="C61" s="46">
        <f>B61</f>
        <v>24447302.333333336</v>
      </c>
      <c r="D61" s="46">
        <v>10313483.666666664</v>
      </c>
      <c r="E61" s="47">
        <f>B61/12000000</f>
        <v>2.0372751944444447</v>
      </c>
      <c r="K61" s="6" t="s">
        <v>135</v>
      </c>
      <c r="L61" s="6" t="s">
        <v>136</v>
      </c>
    </row>
    <row r="62" spans="1:13" x14ac:dyDescent="0.3">
      <c r="A62" s="44" t="s">
        <v>118</v>
      </c>
      <c r="B62" s="45">
        <v>28237120.979797978</v>
      </c>
      <c r="C62" s="46">
        <f>B62-B61</f>
        <v>3789818.6464646421</v>
      </c>
      <c r="D62" s="46">
        <v>6523665.020202022</v>
      </c>
      <c r="E62" s="47">
        <f>B62/14000000</f>
        <v>2.0169372128427128</v>
      </c>
      <c r="K62" s="6"/>
      <c r="L62" s="6"/>
    </row>
    <row r="63" spans="1:13" x14ac:dyDescent="0.3">
      <c r="A63" s="44" t="s">
        <v>120</v>
      </c>
      <c r="B63" s="45">
        <v>31770125.229437232</v>
      </c>
      <c r="C63" s="46">
        <f>B63-B62</f>
        <v>3533004.2496392541</v>
      </c>
      <c r="D63" s="46">
        <v>2990660.770562768</v>
      </c>
      <c r="E63" s="47">
        <f>B63/16000000</f>
        <v>1.9856328268398269</v>
      </c>
      <c r="K63" s="28" t="s">
        <v>67</v>
      </c>
      <c r="L63" s="28" t="s">
        <v>109</v>
      </c>
    </row>
    <row r="64" spans="1:13" x14ac:dyDescent="0.3">
      <c r="A64" s="48" t="s">
        <v>122</v>
      </c>
      <c r="B64" s="45">
        <v>33315579.774891771</v>
      </c>
      <c r="C64" s="46">
        <f>B64-B63</f>
        <v>1545454.5454545394</v>
      </c>
      <c r="D64" s="46">
        <v>1445206.2251082286</v>
      </c>
      <c r="E64" s="47">
        <f>B64/17000000</f>
        <v>1.9597399867583396</v>
      </c>
      <c r="K64" s="34" t="s">
        <v>68</v>
      </c>
      <c r="L64" s="34" t="s">
        <v>137</v>
      </c>
      <c r="M64" s="37"/>
    </row>
    <row r="65" spans="1:13" x14ac:dyDescent="0.3">
      <c r="A65" s="44" t="s">
        <v>121</v>
      </c>
      <c r="B65" s="45">
        <v>34760786</v>
      </c>
      <c r="C65" s="46">
        <f>B65-B63</f>
        <v>2990660.770562768</v>
      </c>
      <c r="D65" s="46">
        <v>0</v>
      </c>
      <c r="E65" s="47">
        <f>B65/18000000</f>
        <v>1.9311547777777778</v>
      </c>
      <c r="K65" s="34" t="s">
        <v>69</v>
      </c>
      <c r="L65" s="34" t="s">
        <v>138</v>
      </c>
      <c r="M65" s="37"/>
    </row>
    <row r="66" spans="1:13" x14ac:dyDescent="0.3">
      <c r="A66" s="6"/>
      <c r="B66" s="36"/>
      <c r="C66" s="36"/>
      <c r="D66" s="36"/>
      <c r="E66" s="6"/>
      <c r="K66" s="34" t="s">
        <v>70</v>
      </c>
      <c r="L66" s="34" t="s">
        <v>112</v>
      </c>
      <c r="M66" s="37"/>
    </row>
    <row r="67" spans="1:13" x14ac:dyDescent="0.3">
      <c r="A67" s="6"/>
      <c r="B67" s="36"/>
      <c r="C67" s="36"/>
      <c r="D67" s="36"/>
      <c r="E67" s="6"/>
      <c r="K67" s="34" t="s">
        <v>71</v>
      </c>
      <c r="L67" s="34" t="s">
        <v>139</v>
      </c>
      <c r="M67" s="37"/>
    </row>
    <row r="68" spans="1:13" x14ac:dyDescent="0.3">
      <c r="A68" s="6"/>
      <c r="B68" s="36"/>
      <c r="C68" s="36"/>
      <c r="D68" s="39"/>
      <c r="E68" s="6"/>
      <c r="K68" s="34" t="s">
        <v>70</v>
      </c>
    </row>
    <row r="69" spans="1:13" x14ac:dyDescent="0.3">
      <c r="A69" s="6"/>
      <c r="B69" s="6"/>
      <c r="C69" s="6"/>
      <c r="D69" s="6"/>
      <c r="E69" s="6"/>
      <c r="K69" s="34" t="s">
        <v>72</v>
      </c>
    </row>
    <row r="70" spans="1:13" x14ac:dyDescent="0.3">
      <c r="K70" s="34" t="s">
        <v>70</v>
      </c>
    </row>
    <row r="71" spans="1:13" x14ac:dyDescent="0.3">
      <c r="K71" s="34" t="s">
        <v>73</v>
      </c>
    </row>
    <row r="72" spans="1:13" x14ac:dyDescent="0.3">
      <c r="K72" s="34" t="s">
        <v>70</v>
      </c>
    </row>
    <row r="73" spans="1:13" x14ac:dyDescent="0.3">
      <c r="K73" s="34" t="s">
        <v>74</v>
      </c>
    </row>
    <row r="74" spans="1:13" x14ac:dyDescent="0.3">
      <c r="K74" s="34" t="s">
        <v>70</v>
      </c>
    </row>
    <row r="75" spans="1:13" x14ac:dyDescent="0.3">
      <c r="K75" s="34" t="s">
        <v>75</v>
      </c>
    </row>
    <row r="76" spans="1:13" x14ac:dyDescent="0.3">
      <c r="K76" s="34" t="s">
        <v>70</v>
      </c>
    </row>
    <row r="77" spans="1:13" x14ac:dyDescent="0.3">
      <c r="K77" s="34" t="s">
        <v>76</v>
      </c>
    </row>
    <row r="78" spans="1:13" x14ac:dyDescent="0.3">
      <c r="K78" s="34" t="s">
        <v>70</v>
      </c>
      <c r="L78"/>
    </row>
    <row r="79" spans="1:13" x14ac:dyDescent="0.3">
      <c r="K79" s="34" t="s">
        <v>77</v>
      </c>
      <c r="L79"/>
    </row>
    <row r="80" spans="1:13" x14ac:dyDescent="0.3">
      <c r="K80" s="34" t="s">
        <v>70</v>
      </c>
      <c r="L80"/>
    </row>
    <row r="81" spans="11:12" x14ac:dyDescent="0.3">
      <c r="K81" s="34" t="s">
        <v>78</v>
      </c>
      <c r="L81"/>
    </row>
    <row r="82" spans="11:12" x14ac:dyDescent="0.3">
      <c r="K82" s="34" t="s">
        <v>70</v>
      </c>
      <c r="L82"/>
    </row>
    <row r="83" spans="11:12" x14ac:dyDescent="0.3">
      <c r="K83" s="34" t="s">
        <v>79</v>
      </c>
      <c r="L83"/>
    </row>
    <row r="84" spans="11:12" x14ac:dyDescent="0.3">
      <c r="K84" s="34" t="s">
        <v>70</v>
      </c>
      <c r="L84"/>
    </row>
    <row r="85" spans="11:12" x14ac:dyDescent="0.3">
      <c r="K85" s="34" t="s">
        <v>80</v>
      </c>
      <c r="L85"/>
    </row>
    <row r="86" spans="11:12" x14ac:dyDescent="0.3">
      <c r="K86" s="34" t="s">
        <v>70</v>
      </c>
      <c r="L86"/>
    </row>
    <row r="87" spans="11:12" x14ac:dyDescent="0.3">
      <c r="K87" s="34" t="s">
        <v>81</v>
      </c>
      <c r="L87"/>
    </row>
    <row r="88" spans="11:12" x14ac:dyDescent="0.3">
      <c r="K88" s="34" t="s">
        <v>70</v>
      </c>
      <c r="L88"/>
    </row>
    <row r="89" spans="11:12" x14ac:dyDescent="0.3">
      <c r="K89" s="34" t="s">
        <v>82</v>
      </c>
    </row>
    <row r="90" spans="11:12" x14ac:dyDescent="0.3">
      <c r="K90" s="34" t="s">
        <v>70</v>
      </c>
    </row>
    <row r="91" spans="11:12" x14ac:dyDescent="0.3">
      <c r="K91" s="34" t="s">
        <v>83</v>
      </c>
    </row>
    <row r="92" spans="11:12" x14ac:dyDescent="0.3">
      <c r="K92" s="34" t="s">
        <v>70</v>
      </c>
    </row>
    <row r="93" spans="11:12" x14ac:dyDescent="0.3">
      <c r="K93" s="34" t="s">
        <v>84</v>
      </c>
    </row>
    <row r="94" spans="11:12" x14ac:dyDescent="0.3">
      <c r="K94" s="34" t="s">
        <v>70</v>
      </c>
    </row>
    <row r="95" spans="11:12" x14ac:dyDescent="0.3">
      <c r="K95" s="34" t="s">
        <v>85</v>
      </c>
    </row>
    <row r="96" spans="11:12" x14ac:dyDescent="0.3">
      <c r="K96" s="34" t="s">
        <v>70</v>
      </c>
    </row>
    <row r="97" spans="11:11" x14ac:dyDescent="0.3">
      <c r="K97" s="34" t="s">
        <v>86</v>
      </c>
    </row>
    <row r="98" spans="11:11" x14ac:dyDescent="0.3">
      <c r="K98" s="34" t="s">
        <v>70</v>
      </c>
    </row>
    <row r="99" spans="11:11" x14ac:dyDescent="0.3">
      <c r="K99" s="34" t="s">
        <v>87</v>
      </c>
    </row>
    <row r="100" spans="11:11" x14ac:dyDescent="0.3">
      <c r="K100" s="34" t="s">
        <v>70</v>
      </c>
    </row>
    <row r="101" spans="11:11" x14ac:dyDescent="0.3">
      <c r="K101" s="34" t="s">
        <v>107</v>
      </c>
    </row>
    <row r="102" spans="11:11" x14ac:dyDescent="0.3">
      <c r="K102" s="34" t="s">
        <v>70</v>
      </c>
    </row>
    <row r="103" spans="11:11" x14ac:dyDescent="0.3">
      <c r="K103" s="34" t="s">
        <v>108</v>
      </c>
    </row>
  </sheetData>
  <scenarios current="0">
    <scenario name="S2 1.5M -&gt; 2.5M" count="9" user="Anil Jacob" comment="Created by Anil Jacob on 5/15/2026">
      <inputCells r="B20" val="2500000" numFmtId="3"/>
      <inputCells r="C20" val="131859.166666666" numFmtId="3"/>
      <inputCells r="D20" val="0" numFmtId="3"/>
      <inputCells r="B21" val="0" numFmtId="3"/>
      <inputCells r="C21" val="1483384.09090909" numFmtId="3"/>
      <inputCells r="D21" val="0" numFmtId="3"/>
      <inputCells r="B22" val="0" numFmtId="3"/>
      <inputCells r="C22" val="184756.742424243" numFmtId="3"/>
      <inputCells r="D22" val="700000" numFmtId="3"/>
    </scenario>
  </scenario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LP-Scenario8</vt:lpstr>
      <vt:lpstr>LP-Scenario9A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Jacob</dc:creator>
  <cp:lastModifiedBy>Anil Jacob</cp:lastModifiedBy>
  <dcterms:created xsi:type="dcterms:W3CDTF">2026-05-18T09:56:03Z</dcterms:created>
  <dcterms:modified xsi:type="dcterms:W3CDTF">2026-06-06T06:18:50Z</dcterms:modified>
</cp:coreProperties>
</file>