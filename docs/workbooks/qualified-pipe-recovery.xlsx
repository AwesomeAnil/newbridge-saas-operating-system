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6.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7.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omments8.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Anil\GitHub\newbridge-saas-operating-system\workbooks\"/>
    </mc:Choice>
  </mc:AlternateContent>
  <xr:revisionPtr revIDLastSave="0" documentId="13_ncr:1_{1ECE0DB8-BFCA-4082-9BB1-358D5449F9EE}" xr6:coauthVersionLast="47" xr6:coauthVersionMax="47" xr10:uidLastSave="{00000000-0000-0000-0000-000000000000}"/>
  <bookViews>
    <workbookView xWindow="540" yWindow="0" windowWidth="20370" windowHeight="15480" tabRatio="715" firstSheet="2" activeTab="4" xr2:uid="{00000000-000D-0000-FFFF-FFFF00000000}"/>
  </bookViews>
  <sheets>
    <sheet name="CRR_LP_Optimization-Initial" sheetId="2" r:id="rId1"/>
    <sheet name="LP_Scenario1" sheetId="3" r:id="rId2"/>
    <sheet name="LP-Scenario2" sheetId="4" r:id="rId3"/>
    <sheet name="LP-Scenario2-QualifiedPipe" sheetId="10" r:id="rId4"/>
    <sheet name="LP-Scenario2-QualPipe-Scenarios" sheetId="11" r:id="rId5"/>
    <sheet name="LP-Scenario3" sheetId="5" r:id="rId6"/>
    <sheet name="LP-Scenario4" sheetId="7" r:id="rId7"/>
    <sheet name="LP-Scenario5" sheetId="8" r:id="rId8"/>
    <sheet name="LP-Scenario6" sheetId="9" r:id="rId9"/>
  </sheets>
  <definedNames>
    <definedName name="solver_adj" localSheetId="1" hidden="1">LP_Scenario1!$B$14:$D$16</definedName>
    <definedName name="solver_adj" localSheetId="2" hidden="1">'LP-Scenario2'!$B$14:$D$16</definedName>
    <definedName name="solver_cvg" localSheetId="1" hidden="1">0.0001</definedName>
    <definedName name="solver_cvg" localSheetId="2" hidden="1">0.0001</definedName>
    <definedName name="solver_cvg" localSheetId="3" hidden="1">0.0001</definedName>
    <definedName name="solver_cvg" localSheetId="4" hidden="1">0.0001</definedName>
    <definedName name="solver_cvg" localSheetId="5" hidden="1">0.0001</definedName>
    <definedName name="solver_cvg" localSheetId="6" hidden="1">0.0001</definedName>
    <definedName name="solver_cvg" localSheetId="7" hidden="1">0.0001</definedName>
    <definedName name="solver_cvg" localSheetId="8" hidden="1">0.0001</definedName>
    <definedName name="solver_drv" localSheetId="1" hidden="1">1</definedName>
    <definedName name="solver_drv" localSheetId="2" hidden="1">1</definedName>
    <definedName name="solver_drv" localSheetId="3" hidden="1">1</definedName>
    <definedName name="solver_drv" localSheetId="4" hidden="1">1</definedName>
    <definedName name="solver_drv" localSheetId="5" hidden="1">1</definedName>
    <definedName name="solver_drv" localSheetId="6" hidden="1">1</definedName>
    <definedName name="solver_drv" localSheetId="7" hidden="1">1</definedName>
    <definedName name="solver_drv" localSheetId="8" hidden="1">1</definedName>
    <definedName name="solver_eng" localSheetId="1" hidden="1">2</definedName>
    <definedName name="solver_eng" localSheetId="2" hidden="1">2</definedName>
    <definedName name="solver_eng" localSheetId="3" hidden="1">2</definedName>
    <definedName name="solver_eng" localSheetId="4" hidden="1">2</definedName>
    <definedName name="solver_eng" localSheetId="5" hidden="1">2</definedName>
    <definedName name="solver_eng" localSheetId="6" hidden="1">2</definedName>
    <definedName name="solver_eng" localSheetId="7" hidden="1">2</definedName>
    <definedName name="solver_eng" localSheetId="8" hidden="1">2</definedName>
    <definedName name="solver_est" localSheetId="1" hidden="1">1</definedName>
    <definedName name="solver_est" localSheetId="2" hidden="1">1</definedName>
    <definedName name="solver_est" localSheetId="3" hidden="1">1</definedName>
    <definedName name="solver_est" localSheetId="4" hidden="1">1</definedName>
    <definedName name="solver_est" localSheetId="5" hidden="1">1</definedName>
    <definedName name="solver_est" localSheetId="6" hidden="1">1</definedName>
    <definedName name="solver_est" localSheetId="7" hidden="1">1</definedName>
    <definedName name="solver_est" localSheetId="8" hidden="1">1</definedName>
    <definedName name="solver_itr" localSheetId="1" hidden="1">2147483647</definedName>
    <definedName name="solver_itr" localSheetId="2" hidden="1">2147483647</definedName>
    <definedName name="solver_itr" localSheetId="3" hidden="1">2147483647</definedName>
    <definedName name="solver_itr" localSheetId="4" hidden="1">2147483647</definedName>
    <definedName name="solver_itr" localSheetId="5" hidden="1">2147483647</definedName>
    <definedName name="solver_itr" localSheetId="6" hidden="1">2147483647</definedName>
    <definedName name="solver_itr" localSheetId="7" hidden="1">2147483647</definedName>
    <definedName name="solver_itr" localSheetId="8" hidden="1">2147483647</definedName>
    <definedName name="solver_lhs1" localSheetId="1" hidden="1">LP_Scenario1!$B$30</definedName>
    <definedName name="solver_lhs1" localSheetId="2" hidden="1">'LP-Scenario2'!$B$30</definedName>
    <definedName name="solver_lhs1" localSheetId="3" hidden="1">'LP-Scenario2-QualifiedPipe'!$B$40</definedName>
    <definedName name="solver_lhs1" localSheetId="4" hidden="1">'LP-Scenario2-QualPipe-Scenarios'!$B$40</definedName>
    <definedName name="solver_lhs1" localSheetId="5" hidden="1">'LP-Scenario3'!$B$30</definedName>
    <definedName name="solver_lhs1" localSheetId="6" hidden="1">'LP-Scenario4'!$B$30</definedName>
    <definedName name="solver_lhs1" localSheetId="7" hidden="1">'LP-Scenario5'!$B$30</definedName>
    <definedName name="solver_lhs1" localSheetId="8" hidden="1">'LP-Scenario6'!$B$30</definedName>
    <definedName name="solver_lhs10" localSheetId="3" hidden="1">'LP-Scenario2-QualifiedPipe'!$B$49</definedName>
    <definedName name="solver_lhs10" localSheetId="4" hidden="1">'LP-Scenario2-QualPipe-Scenarios'!$B$49</definedName>
    <definedName name="solver_lhs2" localSheetId="1" hidden="1">LP_Scenario1!$B$31</definedName>
    <definedName name="solver_lhs2" localSheetId="2" hidden="1">'LP-Scenario2'!$B$31</definedName>
    <definedName name="solver_lhs2" localSheetId="3" hidden="1">'LP-Scenario2-QualifiedPipe'!$B$41</definedName>
    <definedName name="solver_lhs2" localSheetId="4" hidden="1">'LP-Scenario2-QualPipe-Scenarios'!$B$41</definedName>
    <definedName name="solver_lhs2" localSheetId="5" hidden="1">'LP-Scenario3'!$B$31</definedName>
    <definedName name="solver_lhs2" localSheetId="6" hidden="1">'LP-Scenario4'!$B$31</definedName>
    <definedName name="solver_lhs2" localSheetId="7" hidden="1">'LP-Scenario5'!$B$31</definedName>
    <definedName name="solver_lhs2" localSheetId="8" hidden="1">'LP-Scenario6'!$B$31</definedName>
    <definedName name="solver_lhs3" localSheetId="1" hidden="1">LP_Scenario1!$B$32</definedName>
    <definedName name="solver_lhs3" localSheetId="2" hidden="1">'LP-Scenario2'!$B$32</definedName>
    <definedName name="solver_lhs3" localSheetId="3" hidden="1">'LP-Scenario2-QualifiedPipe'!$B$42</definedName>
    <definedName name="solver_lhs3" localSheetId="4" hidden="1">'LP-Scenario2-QualPipe-Scenarios'!$B$42</definedName>
    <definedName name="solver_lhs3" localSheetId="5" hidden="1">'LP-Scenario3'!$B$32</definedName>
    <definedName name="solver_lhs3" localSheetId="6" hidden="1">'LP-Scenario4'!$B$32</definedName>
    <definedName name="solver_lhs3" localSheetId="7" hidden="1">'LP-Scenario5'!$B$32</definedName>
    <definedName name="solver_lhs3" localSheetId="8" hidden="1">'LP-Scenario6'!$B$32</definedName>
    <definedName name="solver_lhs4" localSheetId="1" hidden="1">LP_Scenario1!$B$33</definedName>
    <definedName name="solver_lhs4" localSheetId="2" hidden="1">'LP-Scenario2'!$B$33</definedName>
    <definedName name="solver_lhs4" localSheetId="3" hidden="1">'LP-Scenario2-QualifiedPipe'!$B$43</definedName>
    <definedName name="solver_lhs4" localSheetId="4" hidden="1">'LP-Scenario2-QualPipe-Scenarios'!$B$43</definedName>
    <definedName name="solver_lhs4" localSheetId="5" hidden="1">'LP-Scenario3'!$B$33</definedName>
    <definedName name="solver_lhs4" localSheetId="6" hidden="1">'LP-Scenario4'!$B$33</definedName>
    <definedName name="solver_lhs4" localSheetId="7" hidden="1">'LP-Scenario5'!$B$33</definedName>
    <definedName name="solver_lhs4" localSheetId="8" hidden="1">'LP-Scenario6'!$B$33</definedName>
    <definedName name="solver_lhs5" localSheetId="1" hidden="1">LP_Scenario1!$B$34</definedName>
    <definedName name="solver_lhs5" localSheetId="2" hidden="1">'LP-Scenario2'!$B$34</definedName>
    <definedName name="solver_lhs5" localSheetId="3" hidden="1">'LP-Scenario2-QualifiedPipe'!$B$44</definedName>
    <definedName name="solver_lhs5" localSheetId="4" hidden="1">'LP-Scenario2-QualPipe-Scenarios'!$B$44</definedName>
    <definedName name="solver_lhs5" localSheetId="5" hidden="1">'LP-Scenario3'!$B$34</definedName>
    <definedName name="solver_lhs5" localSheetId="6" hidden="1">'LP-Scenario4'!$B$34</definedName>
    <definedName name="solver_lhs5" localSheetId="7" hidden="1">'LP-Scenario5'!$B$34</definedName>
    <definedName name="solver_lhs5" localSheetId="8" hidden="1">'LP-Scenario6'!$B$34</definedName>
    <definedName name="solver_lhs6" localSheetId="1" hidden="1">LP_Scenario1!$B$35</definedName>
    <definedName name="solver_lhs6" localSheetId="2" hidden="1">'LP-Scenario2'!$B$35</definedName>
    <definedName name="solver_lhs6" localSheetId="3" hidden="1">'LP-Scenario2-QualifiedPipe'!$B$45</definedName>
    <definedName name="solver_lhs6" localSheetId="4" hidden="1">'LP-Scenario2-QualPipe-Scenarios'!$B$45</definedName>
    <definedName name="solver_lhs6" localSheetId="5" hidden="1">'LP-Scenario3'!$B$35</definedName>
    <definedName name="solver_lhs6" localSheetId="6" hidden="1">'LP-Scenario4'!$B$35</definedName>
    <definedName name="solver_lhs6" localSheetId="7" hidden="1">'LP-Scenario5'!$B$35</definedName>
    <definedName name="solver_lhs6" localSheetId="8" hidden="1">'LP-Scenario6'!$B$35</definedName>
    <definedName name="solver_lhs7" localSheetId="1" hidden="1">LP_Scenario1!$B$36</definedName>
    <definedName name="solver_lhs7" localSheetId="2" hidden="1">'LP-Scenario2'!$B$36</definedName>
    <definedName name="solver_lhs7" localSheetId="3" hidden="1">'LP-Scenario2-QualifiedPipe'!$B$46</definedName>
    <definedName name="solver_lhs7" localSheetId="4" hidden="1">'LP-Scenario2-QualPipe-Scenarios'!$B$46</definedName>
    <definedName name="solver_lhs7" localSheetId="5" hidden="1">'LP-Scenario3'!$B$36</definedName>
    <definedName name="solver_lhs7" localSheetId="6" hidden="1">'LP-Scenario4'!$B$36</definedName>
    <definedName name="solver_lhs7" localSheetId="7" hidden="1">'LP-Scenario5'!$B$36</definedName>
    <definedName name="solver_lhs7" localSheetId="8" hidden="1">'LP-Scenario6'!$B$36</definedName>
    <definedName name="solver_lhs8" localSheetId="3" hidden="1">'LP-Scenario2-QualifiedPipe'!$B$47</definedName>
    <definedName name="solver_lhs8" localSheetId="4" hidden="1">'LP-Scenario2-QualPipe-Scenarios'!$B$47</definedName>
    <definedName name="solver_lhs9" localSheetId="3" hidden="1">'LP-Scenario2-QualifiedPipe'!$B$48</definedName>
    <definedName name="solver_lhs9" localSheetId="4" hidden="1">'LP-Scenario2-QualPipe-Scenarios'!$B$48</definedName>
    <definedName name="solver_mip" localSheetId="1" hidden="1">2147483647</definedName>
    <definedName name="solver_mip" localSheetId="2" hidden="1">2147483647</definedName>
    <definedName name="solver_mip" localSheetId="3" hidden="1">2147483647</definedName>
    <definedName name="solver_mip" localSheetId="4" hidden="1">2147483647</definedName>
    <definedName name="solver_mip" localSheetId="5" hidden="1">2147483647</definedName>
    <definedName name="solver_mip" localSheetId="6" hidden="1">2147483647</definedName>
    <definedName name="solver_mip" localSheetId="7" hidden="1">2147483647</definedName>
    <definedName name="solver_mip" localSheetId="8" hidden="1">2147483647</definedName>
    <definedName name="solver_mni" localSheetId="1" hidden="1">30</definedName>
    <definedName name="solver_mni" localSheetId="2" hidden="1">30</definedName>
    <definedName name="solver_mni" localSheetId="3" hidden="1">30</definedName>
    <definedName name="solver_mni" localSheetId="4" hidden="1">30</definedName>
    <definedName name="solver_mni" localSheetId="5" hidden="1">30</definedName>
    <definedName name="solver_mni" localSheetId="6" hidden="1">30</definedName>
    <definedName name="solver_mni" localSheetId="7" hidden="1">30</definedName>
    <definedName name="solver_mni" localSheetId="8" hidden="1">30</definedName>
    <definedName name="solver_mrt" localSheetId="1" hidden="1">0.075</definedName>
    <definedName name="solver_mrt" localSheetId="2" hidden="1">0.075</definedName>
    <definedName name="solver_mrt" localSheetId="3" hidden="1">0.075</definedName>
    <definedName name="solver_mrt" localSheetId="4" hidden="1">0.075</definedName>
    <definedName name="solver_mrt" localSheetId="5" hidden="1">0.075</definedName>
    <definedName name="solver_mrt" localSheetId="6" hidden="1">0.075</definedName>
    <definedName name="solver_mrt" localSheetId="7" hidden="1">0.075</definedName>
    <definedName name="solver_mrt" localSheetId="8" hidden="1">0.075</definedName>
    <definedName name="solver_msl" localSheetId="1" hidden="1">2</definedName>
    <definedName name="solver_msl" localSheetId="2" hidden="1">2</definedName>
    <definedName name="solver_msl" localSheetId="3" hidden="1">2</definedName>
    <definedName name="solver_msl" localSheetId="4" hidden="1">2</definedName>
    <definedName name="solver_msl" localSheetId="5" hidden="1">2</definedName>
    <definedName name="solver_msl" localSheetId="6" hidden="1">2</definedName>
    <definedName name="solver_msl" localSheetId="7" hidden="1">2</definedName>
    <definedName name="solver_msl" localSheetId="8" hidden="1">2</definedName>
    <definedName name="solver_neg" localSheetId="1" hidden="1">1</definedName>
    <definedName name="solver_neg" localSheetId="2" hidden="1">1</definedName>
    <definedName name="solver_neg" localSheetId="3" hidden="1">1</definedName>
    <definedName name="solver_neg" localSheetId="4" hidden="1">1</definedName>
    <definedName name="solver_neg" localSheetId="5" hidden="1">1</definedName>
    <definedName name="solver_neg" localSheetId="6" hidden="1">1</definedName>
    <definedName name="solver_neg" localSheetId="7" hidden="1">1</definedName>
    <definedName name="solver_neg" localSheetId="8" hidden="1">1</definedName>
    <definedName name="solver_nod" localSheetId="1" hidden="1">2147483647</definedName>
    <definedName name="solver_nod" localSheetId="2" hidden="1">2147483647</definedName>
    <definedName name="solver_nod" localSheetId="3" hidden="1">2147483647</definedName>
    <definedName name="solver_nod" localSheetId="4" hidden="1">2147483647</definedName>
    <definedName name="solver_nod" localSheetId="5" hidden="1">2147483647</definedName>
    <definedName name="solver_nod" localSheetId="6" hidden="1">2147483647</definedName>
    <definedName name="solver_nod" localSheetId="7" hidden="1">2147483647</definedName>
    <definedName name="solver_nod" localSheetId="8" hidden="1">2147483647</definedName>
    <definedName name="solver_num" localSheetId="1" hidden="1">7</definedName>
    <definedName name="solver_num" localSheetId="2" hidden="1">7</definedName>
    <definedName name="solver_num" localSheetId="3" hidden="1">0</definedName>
    <definedName name="solver_num" localSheetId="4" hidden="1">0</definedName>
    <definedName name="solver_num" localSheetId="5" hidden="1">0</definedName>
    <definedName name="solver_num" localSheetId="6" hidden="1">0</definedName>
    <definedName name="solver_num" localSheetId="7" hidden="1">0</definedName>
    <definedName name="solver_num" localSheetId="8" hidden="1">0</definedName>
    <definedName name="solver_nwt" localSheetId="1" hidden="1">1</definedName>
    <definedName name="solver_nwt" localSheetId="2" hidden="1">1</definedName>
    <definedName name="solver_nwt" localSheetId="3" hidden="1">1</definedName>
    <definedName name="solver_nwt" localSheetId="4" hidden="1">1</definedName>
    <definedName name="solver_nwt" localSheetId="5" hidden="1">1</definedName>
    <definedName name="solver_nwt" localSheetId="6" hidden="1">1</definedName>
    <definedName name="solver_nwt" localSheetId="7" hidden="1">1</definedName>
    <definedName name="solver_nwt" localSheetId="8" hidden="1">1</definedName>
    <definedName name="solver_opt" localSheetId="1" hidden="1">LP_Scenario1!$E$25</definedName>
    <definedName name="solver_opt" localSheetId="2" hidden="1">'LP-Scenario2'!$E$25</definedName>
    <definedName name="solver_pre" localSheetId="1" hidden="1">0.000001</definedName>
    <definedName name="solver_pre" localSheetId="2" hidden="1">0.000001</definedName>
    <definedName name="solver_pre" localSheetId="3" hidden="1">0.000001</definedName>
    <definedName name="solver_pre" localSheetId="4" hidden="1">0.000001</definedName>
    <definedName name="solver_pre" localSheetId="5" hidden="1">0.000001</definedName>
    <definedName name="solver_pre" localSheetId="6" hidden="1">0.000001</definedName>
    <definedName name="solver_pre" localSheetId="7" hidden="1">0.000001</definedName>
    <definedName name="solver_pre" localSheetId="8" hidden="1">0.000001</definedName>
    <definedName name="solver_rbv" localSheetId="1" hidden="1">1</definedName>
    <definedName name="solver_rbv" localSheetId="2" hidden="1">1</definedName>
    <definedName name="solver_rbv" localSheetId="3" hidden="1">1</definedName>
    <definedName name="solver_rbv" localSheetId="4" hidden="1">1</definedName>
    <definedName name="solver_rbv" localSheetId="5" hidden="1">1</definedName>
    <definedName name="solver_rbv" localSheetId="6" hidden="1">1</definedName>
    <definedName name="solver_rbv" localSheetId="7" hidden="1">1</definedName>
    <definedName name="solver_rbv" localSheetId="8" hidden="1">1</definedName>
    <definedName name="solver_rel1" localSheetId="1" hidden="1">1</definedName>
    <definedName name="solver_rel1" localSheetId="2" hidden="1">1</definedName>
    <definedName name="solver_rel1" localSheetId="3" hidden="1">1</definedName>
    <definedName name="solver_rel1" localSheetId="4" hidden="1">1</definedName>
    <definedName name="solver_rel1" localSheetId="5" hidden="1">1</definedName>
    <definedName name="solver_rel1" localSheetId="6" hidden="1">1</definedName>
    <definedName name="solver_rel1" localSheetId="7" hidden="1">1</definedName>
    <definedName name="solver_rel1" localSheetId="8" hidden="1">1</definedName>
    <definedName name="solver_rel10" localSheetId="3" hidden="1">1</definedName>
    <definedName name="solver_rel10" localSheetId="4" hidden="1">1</definedName>
    <definedName name="solver_rel2" localSheetId="1" hidden="1">1</definedName>
    <definedName name="solver_rel2" localSheetId="2" hidden="1">1</definedName>
    <definedName name="solver_rel2" localSheetId="3" hidden="1">1</definedName>
    <definedName name="solver_rel2" localSheetId="4" hidden="1">1</definedName>
    <definedName name="solver_rel2" localSheetId="5" hidden="1">1</definedName>
    <definedName name="solver_rel2" localSheetId="6" hidden="1">1</definedName>
    <definedName name="solver_rel2" localSheetId="7" hidden="1">1</definedName>
    <definedName name="solver_rel2" localSheetId="8" hidden="1">1</definedName>
    <definedName name="solver_rel3" localSheetId="1" hidden="1">1</definedName>
    <definedName name="solver_rel3" localSheetId="2" hidden="1">1</definedName>
    <definedName name="solver_rel3" localSheetId="3" hidden="1">1</definedName>
    <definedName name="solver_rel3" localSheetId="4" hidden="1">1</definedName>
    <definedName name="solver_rel3" localSheetId="5" hidden="1">1</definedName>
    <definedName name="solver_rel3" localSheetId="6" hidden="1">1</definedName>
    <definedName name="solver_rel3" localSheetId="7" hidden="1">1</definedName>
    <definedName name="solver_rel3" localSheetId="8" hidden="1">1</definedName>
    <definedName name="solver_rel4" localSheetId="1" hidden="1">1</definedName>
    <definedName name="solver_rel4" localSheetId="2" hidden="1">1</definedName>
    <definedName name="solver_rel4" localSheetId="3" hidden="1">1</definedName>
    <definedName name="solver_rel4" localSheetId="4" hidden="1">1</definedName>
    <definedName name="solver_rel4" localSheetId="5" hidden="1">1</definedName>
    <definedName name="solver_rel4" localSheetId="6" hidden="1">1</definedName>
    <definedName name="solver_rel4" localSheetId="7" hidden="1">1</definedName>
    <definedName name="solver_rel4" localSheetId="8" hidden="1">1</definedName>
    <definedName name="solver_rel5" localSheetId="1" hidden="1">1</definedName>
    <definedName name="solver_rel5" localSheetId="2" hidden="1">1</definedName>
    <definedName name="solver_rel5" localSheetId="3" hidden="1">1</definedName>
    <definedName name="solver_rel5" localSheetId="4" hidden="1">1</definedName>
    <definedName name="solver_rel5" localSheetId="5" hidden="1">1</definedName>
    <definedName name="solver_rel5" localSheetId="6" hidden="1">1</definedName>
    <definedName name="solver_rel5" localSheetId="7" hidden="1">1</definedName>
    <definedName name="solver_rel5" localSheetId="8" hidden="1">1</definedName>
    <definedName name="solver_rel6" localSheetId="1" hidden="1">1</definedName>
    <definedName name="solver_rel6" localSheetId="2" hidden="1">1</definedName>
    <definedName name="solver_rel6" localSheetId="3" hidden="1">1</definedName>
    <definedName name="solver_rel6" localSheetId="4" hidden="1">1</definedName>
    <definedName name="solver_rel6" localSheetId="5" hidden="1">1</definedName>
    <definedName name="solver_rel6" localSheetId="6" hidden="1">1</definedName>
    <definedName name="solver_rel6" localSheetId="7" hidden="1">1</definedName>
    <definedName name="solver_rel6" localSheetId="8" hidden="1">1</definedName>
    <definedName name="solver_rel7" localSheetId="1" hidden="1">1</definedName>
    <definedName name="solver_rel7" localSheetId="2" hidden="1">1</definedName>
    <definedName name="solver_rel7" localSheetId="3" hidden="1">1</definedName>
    <definedName name="solver_rel7" localSheetId="4" hidden="1">1</definedName>
    <definedName name="solver_rel7" localSheetId="5" hidden="1">1</definedName>
    <definedName name="solver_rel7" localSheetId="6" hidden="1">1</definedName>
    <definedName name="solver_rel7" localSheetId="7" hidden="1">1</definedName>
    <definedName name="solver_rel7" localSheetId="8" hidden="1">1</definedName>
    <definedName name="solver_rel8" localSheetId="3" hidden="1">1</definedName>
    <definedName name="solver_rel8" localSheetId="4" hidden="1">1</definedName>
    <definedName name="solver_rel9" localSheetId="3" hidden="1">1</definedName>
    <definedName name="solver_rel9" localSheetId="4" hidden="1">1</definedName>
    <definedName name="solver_rhs1" localSheetId="1" hidden="1">LP_Scenario1!$C$30</definedName>
    <definedName name="solver_rhs1" localSheetId="2" hidden="1">'LP-Scenario2'!$C$30</definedName>
    <definedName name="solver_rhs1" localSheetId="3" hidden="1">'LP-Scenario2-QualifiedPipe'!$C$40</definedName>
    <definedName name="solver_rhs1" localSheetId="4" hidden="1">'LP-Scenario2-QualPipe-Scenarios'!$C$40</definedName>
    <definedName name="solver_rhs1" localSheetId="5" hidden="1">'LP-Scenario3'!$C$30</definedName>
    <definedName name="solver_rhs1" localSheetId="6" hidden="1">'LP-Scenario4'!$C$30</definedName>
    <definedName name="solver_rhs1" localSheetId="7" hidden="1">'LP-Scenario5'!$C$30</definedName>
    <definedName name="solver_rhs1" localSheetId="8" hidden="1">'LP-Scenario6'!$C$30</definedName>
    <definedName name="solver_rhs10" localSheetId="3" hidden="1">'LP-Scenario2-QualifiedPipe'!$C$49</definedName>
    <definedName name="solver_rhs10" localSheetId="4" hidden="1">'LP-Scenario2-QualPipe-Scenarios'!$C$49</definedName>
    <definedName name="solver_rhs2" localSheetId="1" hidden="1">LP_Scenario1!$C$31</definedName>
    <definedName name="solver_rhs2" localSheetId="2" hidden="1">'LP-Scenario2'!$C$31</definedName>
    <definedName name="solver_rhs2" localSheetId="3" hidden="1">'LP-Scenario2-QualifiedPipe'!$C$41</definedName>
    <definedName name="solver_rhs2" localSheetId="4" hidden="1">'LP-Scenario2-QualPipe-Scenarios'!$C$41</definedName>
    <definedName name="solver_rhs2" localSheetId="5" hidden="1">'LP-Scenario3'!$C$31</definedName>
    <definedName name="solver_rhs2" localSheetId="6" hidden="1">'LP-Scenario4'!$C$31</definedName>
    <definedName name="solver_rhs2" localSheetId="7" hidden="1">'LP-Scenario5'!$C$31</definedName>
    <definedName name="solver_rhs2" localSheetId="8" hidden="1">'LP-Scenario6'!$C$31</definedName>
    <definedName name="solver_rhs3" localSheetId="1" hidden="1">LP_Scenario1!$C$32</definedName>
    <definedName name="solver_rhs3" localSheetId="2" hidden="1">'LP-Scenario2'!$C$32</definedName>
    <definedName name="solver_rhs3" localSheetId="3" hidden="1">'LP-Scenario2-QualifiedPipe'!$C$42</definedName>
    <definedName name="solver_rhs3" localSheetId="4" hidden="1">'LP-Scenario2-QualPipe-Scenarios'!$C$42</definedName>
    <definedName name="solver_rhs3" localSheetId="5" hidden="1">'LP-Scenario3'!$C$32</definedName>
    <definedName name="solver_rhs3" localSheetId="6" hidden="1">'LP-Scenario4'!$C$32</definedName>
    <definedName name="solver_rhs3" localSheetId="7" hidden="1">'LP-Scenario5'!$C$32</definedName>
    <definedName name="solver_rhs3" localSheetId="8" hidden="1">'LP-Scenario6'!$C$32</definedName>
    <definedName name="solver_rhs4" localSheetId="1" hidden="1">LP_Scenario1!$C$33</definedName>
    <definedName name="solver_rhs4" localSheetId="2" hidden="1">'LP-Scenario2'!$C$33</definedName>
    <definedName name="solver_rhs4" localSheetId="3" hidden="1">'LP-Scenario2-QualifiedPipe'!$C$43</definedName>
    <definedName name="solver_rhs4" localSheetId="4" hidden="1">'LP-Scenario2-QualPipe-Scenarios'!$C$43</definedName>
    <definedName name="solver_rhs4" localSheetId="5" hidden="1">'LP-Scenario3'!$C$33</definedName>
    <definedName name="solver_rhs4" localSheetId="6" hidden="1">'LP-Scenario4'!$C$33</definedName>
    <definedName name="solver_rhs4" localSheetId="7" hidden="1">'LP-Scenario5'!$C$33</definedName>
    <definedName name="solver_rhs4" localSheetId="8" hidden="1">'LP-Scenario6'!$C$33</definedName>
    <definedName name="solver_rhs5" localSheetId="1" hidden="1">LP_Scenario1!$C$34</definedName>
    <definedName name="solver_rhs5" localSheetId="2" hidden="1">'LP-Scenario2'!$C$34</definedName>
    <definedName name="solver_rhs5" localSheetId="3" hidden="1">'LP-Scenario2-QualifiedPipe'!$C$44</definedName>
    <definedName name="solver_rhs5" localSheetId="4" hidden="1">'LP-Scenario2-QualPipe-Scenarios'!$C$44</definedName>
    <definedName name="solver_rhs5" localSheetId="5" hidden="1">'LP-Scenario3'!$C$34</definedName>
    <definedName name="solver_rhs5" localSheetId="6" hidden="1">'LP-Scenario4'!$C$34</definedName>
    <definedName name="solver_rhs5" localSheetId="7" hidden="1">'LP-Scenario5'!$C$34</definedName>
    <definedName name="solver_rhs5" localSheetId="8" hidden="1">'LP-Scenario6'!$C$34</definedName>
    <definedName name="solver_rhs6" localSheetId="1" hidden="1">LP_Scenario1!$C$35</definedName>
    <definedName name="solver_rhs6" localSheetId="2" hidden="1">'LP-Scenario2'!$C$35</definedName>
    <definedName name="solver_rhs6" localSheetId="3" hidden="1">'LP-Scenario2-QualifiedPipe'!$C$45</definedName>
    <definedName name="solver_rhs6" localSheetId="4" hidden="1">'LP-Scenario2-QualPipe-Scenarios'!$C$45</definedName>
    <definedName name="solver_rhs6" localSheetId="5" hidden="1">'LP-Scenario3'!$C$35</definedName>
    <definedName name="solver_rhs6" localSheetId="6" hidden="1">'LP-Scenario4'!$C$35</definedName>
    <definedName name="solver_rhs6" localSheetId="7" hidden="1">'LP-Scenario5'!$C$35</definedName>
    <definedName name="solver_rhs6" localSheetId="8" hidden="1">'LP-Scenario6'!$C$35</definedName>
    <definedName name="solver_rhs7" localSheetId="1" hidden="1">LP_Scenario1!$C$36</definedName>
    <definedName name="solver_rhs7" localSheetId="2" hidden="1">'LP-Scenario2'!$C$36</definedName>
    <definedName name="solver_rhs7" localSheetId="3" hidden="1">'LP-Scenario2-QualifiedPipe'!$C$46</definedName>
    <definedName name="solver_rhs7" localSheetId="4" hidden="1">'LP-Scenario2-QualPipe-Scenarios'!$C$46</definedName>
    <definedName name="solver_rhs7" localSheetId="5" hidden="1">'LP-Scenario3'!$C$36</definedName>
    <definedName name="solver_rhs7" localSheetId="6" hidden="1">'LP-Scenario4'!$C$36</definedName>
    <definedName name="solver_rhs7" localSheetId="7" hidden="1">'LP-Scenario5'!$C$36</definedName>
    <definedName name="solver_rhs7" localSheetId="8" hidden="1">'LP-Scenario6'!$C$36</definedName>
    <definedName name="solver_rhs8" localSheetId="3" hidden="1">'LP-Scenario2-QualifiedPipe'!$C$47</definedName>
    <definedName name="solver_rhs8" localSheetId="4" hidden="1">'LP-Scenario2-QualPipe-Scenarios'!$C$47</definedName>
    <definedName name="solver_rhs9" localSheetId="3" hidden="1">'LP-Scenario2-QualifiedPipe'!$C$48</definedName>
    <definedName name="solver_rhs9" localSheetId="4" hidden="1">'LP-Scenario2-QualPipe-Scenarios'!$C$48</definedName>
    <definedName name="solver_rlx" localSheetId="1" hidden="1">2</definedName>
    <definedName name="solver_rlx" localSheetId="2" hidden="1">2</definedName>
    <definedName name="solver_rlx" localSheetId="3" hidden="1">2</definedName>
    <definedName name="solver_rlx" localSheetId="4" hidden="1">2</definedName>
    <definedName name="solver_rlx" localSheetId="5" hidden="1">2</definedName>
    <definedName name="solver_rlx" localSheetId="6" hidden="1">2</definedName>
    <definedName name="solver_rlx" localSheetId="7" hidden="1">2</definedName>
    <definedName name="solver_rlx" localSheetId="8" hidden="1">2</definedName>
    <definedName name="solver_rsd" localSheetId="1" hidden="1">0</definedName>
    <definedName name="solver_rsd" localSheetId="2" hidden="1">0</definedName>
    <definedName name="solver_rsd" localSheetId="3" hidden="1">0</definedName>
    <definedName name="solver_rsd" localSheetId="4" hidden="1">0</definedName>
    <definedName name="solver_rsd" localSheetId="5" hidden="1">0</definedName>
    <definedName name="solver_rsd" localSheetId="6" hidden="1">0</definedName>
    <definedName name="solver_rsd" localSheetId="7" hidden="1">0</definedName>
    <definedName name="solver_rsd" localSheetId="8" hidden="1">0</definedName>
    <definedName name="solver_scl" localSheetId="1" hidden="1">1</definedName>
    <definedName name="solver_scl" localSheetId="2" hidden="1">1</definedName>
    <definedName name="solver_scl" localSheetId="3" hidden="1">1</definedName>
    <definedName name="solver_scl" localSheetId="4" hidden="1">1</definedName>
    <definedName name="solver_scl" localSheetId="5" hidden="1">1</definedName>
    <definedName name="solver_scl" localSheetId="6" hidden="1">1</definedName>
    <definedName name="solver_scl" localSheetId="7" hidden="1">1</definedName>
    <definedName name="solver_scl" localSheetId="8" hidden="1">1</definedName>
    <definedName name="solver_sho" localSheetId="1" hidden="1">2</definedName>
    <definedName name="solver_sho" localSheetId="2" hidden="1">2</definedName>
    <definedName name="solver_sho" localSheetId="3" hidden="1">2</definedName>
    <definedName name="solver_sho" localSheetId="4" hidden="1">2</definedName>
    <definedName name="solver_sho" localSheetId="5" hidden="1">2</definedName>
    <definedName name="solver_sho" localSheetId="6" hidden="1">2</definedName>
    <definedName name="solver_sho" localSheetId="7" hidden="1">2</definedName>
    <definedName name="solver_sho" localSheetId="8" hidden="1">2</definedName>
    <definedName name="solver_ssz" localSheetId="1" hidden="1">100</definedName>
    <definedName name="solver_ssz" localSheetId="2" hidden="1">100</definedName>
    <definedName name="solver_ssz" localSheetId="3" hidden="1">100</definedName>
    <definedName name="solver_ssz" localSheetId="4" hidden="1">100</definedName>
    <definedName name="solver_ssz" localSheetId="5" hidden="1">100</definedName>
    <definedName name="solver_ssz" localSheetId="6" hidden="1">100</definedName>
    <definedName name="solver_ssz" localSheetId="7" hidden="1">100</definedName>
    <definedName name="solver_ssz" localSheetId="8" hidden="1">100</definedName>
    <definedName name="solver_tim" localSheetId="1" hidden="1">2147483647</definedName>
    <definedName name="solver_tim" localSheetId="2" hidden="1">2147483647</definedName>
    <definedName name="solver_tim" localSheetId="3" hidden="1">2147483647</definedName>
    <definedName name="solver_tim" localSheetId="4" hidden="1">2147483647</definedName>
    <definedName name="solver_tim" localSheetId="5" hidden="1">2147483647</definedName>
    <definedName name="solver_tim" localSheetId="6" hidden="1">2147483647</definedName>
    <definedName name="solver_tim" localSheetId="7" hidden="1">2147483647</definedName>
    <definedName name="solver_tim" localSheetId="8" hidden="1">2147483647</definedName>
    <definedName name="solver_tol" localSheetId="1" hidden="1">0.01</definedName>
    <definedName name="solver_tol" localSheetId="2" hidden="1">0.01</definedName>
    <definedName name="solver_tol" localSheetId="3" hidden="1">0.01</definedName>
    <definedName name="solver_tol" localSheetId="4" hidden="1">0.01</definedName>
    <definedName name="solver_tol" localSheetId="5" hidden="1">0.01</definedName>
    <definedName name="solver_tol" localSheetId="6" hidden="1">0.01</definedName>
    <definedName name="solver_tol" localSheetId="7" hidden="1">0.01</definedName>
    <definedName name="solver_tol" localSheetId="8" hidden="1">0.01</definedName>
    <definedName name="solver_typ" localSheetId="1" hidden="1">1</definedName>
    <definedName name="solver_typ" localSheetId="2" hidden="1">1</definedName>
    <definedName name="solver_typ" localSheetId="3" hidden="1">1</definedName>
    <definedName name="solver_typ" localSheetId="4" hidden="1">1</definedName>
    <definedName name="solver_typ" localSheetId="5" hidden="1">1</definedName>
    <definedName name="solver_typ" localSheetId="6" hidden="1">1</definedName>
    <definedName name="solver_typ" localSheetId="7" hidden="1">1</definedName>
    <definedName name="solver_typ" localSheetId="8" hidden="1">1</definedName>
    <definedName name="solver_val" localSheetId="1" hidden="1">0</definedName>
    <definedName name="solver_val" localSheetId="2" hidden="1">0</definedName>
    <definedName name="solver_val" localSheetId="3" hidden="1">0</definedName>
    <definedName name="solver_val" localSheetId="4" hidden="1">0</definedName>
    <definedName name="solver_val" localSheetId="5" hidden="1">0</definedName>
    <definedName name="solver_val" localSheetId="6" hidden="1">0</definedName>
    <definedName name="solver_val" localSheetId="7" hidden="1">0</definedName>
    <definedName name="solver_val" localSheetId="8" hidden="1">0</definedName>
    <definedName name="solver_ver" localSheetId="1" hidden="1">3</definedName>
    <definedName name="solver_ver" localSheetId="2" hidden="1">3</definedName>
    <definedName name="solver_ver" localSheetId="3" hidden="1">3</definedName>
    <definedName name="solver_ver" localSheetId="4" hidden="1">3</definedName>
    <definedName name="solver_ver" localSheetId="5" hidden="1">3</definedName>
    <definedName name="solver_ver" localSheetId="6" hidden="1">3</definedName>
    <definedName name="solver_ver" localSheetId="7" hidden="1">3</definedName>
    <definedName name="solver_ver" localSheetId="8" hidden="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11" l="1"/>
  <c r="E58" i="11"/>
  <c r="C58" i="11"/>
  <c r="E57" i="11"/>
  <c r="E56" i="11"/>
  <c r="E55" i="11"/>
  <c r="E54" i="11"/>
  <c r="C55" i="11"/>
  <c r="C56" i="11"/>
  <c r="C57" i="11"/>
  <c r="C59" i="11"/>
  <c r="C54" i="11"/>
  <c r="E53" i="11"/>
  <c r="C43" i="11"/>
  <c r="D34" i="11"/>
  <c r="C34" i="11"/>
  <c r="B34" i="11"/>
  <c r="D33" i="11"/>
  <c r="C33" i="11"/>
  <c r="B33" i="11"/>
  <c r="D32" i="11"/>
  <c r="C32" i="11"/>
  <c r="B32" i="11"/>
  <c r="D31" i="11"/>
  <c r="C31" i="11"/>
  <c r="B31" i="11"/>
  <c r="D30" i="11"/>
  <c r="C30" i="11"/>
  <c r="B30" i="11"/>
  <c r="D29" i="11"/>
  <c r="C29" i="11"/>
  <c r="B29" i="11"/>
  <c r="D24" i="11"/>
  <c r="C24" i="11"/>
  <c r="B24" i="11"/>
  <c r="E23" i="11"/>
  <c r="E22" i="11"/>
  <c r="E21" i="11"/>
  <c r="E20" i="11"/>
  <c r="E19" i="11"/>
  <c r="E18" i="11"/>
  <c r="E13" i="11"/>
  <c r="D49" i="5"/>
  <c r="D48" i="5"/>
  <c r="D47" i="5"/>
  <c r="D46" i="5"/>
  <c r="D45" i="5"/>
  <c r="D44" i="5"/>
  <c r="D43" i="5"/>
  <c r="D42" i="5"/>
  <c r="E23" i="10"/>
  <c r="E22" i="10"/>
  <c r="E21" i="10"/>
  <c r="D34" i="10"/>
  <c r="C34" i="10"/>
  <c r="B34" i="10"/>
  <c r="D33" i="10"/>
  <c r="C33" i="10"/>
  <c r="B33" i="10"/>
  <c r="D32" i="10"/>
  <c r="C32" i="10"/>
  <c r="B32" i="10"/>
  <c r="B24" i="10"/>
  <c r="C24" i="10"/>
  <c r="D24" i="10"/>
  <c r="E13" i="10"/>
  <c r="C43" i="10"/>
  <c r="D31" i="10"/>
  <c r="C31" i="10"/>
  <c r="B31" i="10"/>
  <c r="D30" i="10"/>
  <c r="C30" i="10"/>
  <c r="B30" i="10"/>
  <c r="D29" i="10"/>
  <c r="C29" i="10"/>
  <c r="B29" i="10"/>
  <c r="E20" i="10"/>
  <c r="E19" i="10"/>
  <c r="E18" i="10"/>
  <c r="E46" i="9"/>
  <c r="C46" i="9"/>
  <c r="E45" i="9"/>
  <c r="C45" i="9"/>
  <c r="E44" i="9"/>
  <c r="C44" i="9"/>
  <c r="E43" i="9"/>
  <c r="C43" i="9"/>
  <c r="E42" i="9"/>
  <c r="C33" i="9"/>
  <c r="D24" i="9"/>
  <c r="C24" i="9"/>
  <c r="B24" i="9"/>
  <c r="D23" i="9"/>
  <c r="C23" i="9"/>
  <c r="B23" i="9"/>
  <c r="D22" i="9"/>
  <c r="C22" i="9"/>
  <c r="B22" i="9"/>
  <c r="D17" i="9"/>
  <c r="C17" i="9"/>
  <c r="B17" i="9"/>
  <c r="E16" i="9"/>
  <c r="E15" i="9"/>
  <c r="E14" i="9"/>
  <c r="E10" i="9"/>
  <c r="E46" i="8"/>
  <c r="C46" i="8"/>
  <c r="E45" i="8"/>
  <c r="C45" i="8"/>
  <c r="E44" i="8"/>
  <c r="C44" i="8"/>
  <c r="E43" i="8"/>
  <c r="C43" i="8"/>
  <c r="E42" i="8"/>
  <c r="C33" i="8"/>
  <c r="D24" i="8"/>
  <c r="C24" i="8"/>
  <c r="B24" i="8"/>
  <c r="D23" i="8"/>
  <c r="C23" i="8"/>
  <c r="B23" i="8"/>
  <c r="D22" i="8"/>
  <c r="C22" i="8"/>
  <c r="B22" i="8"/>
  <c r="D17" i="8"/>
  <c r="C17" i="8"/>
  <c r="B17" i="8"/>
  <c r="E16" i="8"/>
  <c r="E15" i="8"/>
  <c r="E14" i="8"/>
  <c r="E10" i="8"/>
  <c r="E46" i="7"/>
  <c r="E45" i="7"/>
  <c r="E44" i="7"/>
  <c r="E43" i="7"/>
  <c r="E42" i="7"/>
  <c r="C46" i="7"/>
  <c r="C45" i="7"/>
  <c r="C44" i="7"/>
  <c r="C43" i="7"/>
  <c r="C33" i="7"/>
  <c r="D24" i="7"/>
  <c r="C24" i="7"/>
  <c r="B24" i="7"/>
  <c r="D23" i="7"/>
  <c r="C23" i="7"/>
  <c r="B23" i="7"/>
  <c r="D22" i="7"/>
  <c r="C22" i="7"/>
  <c r="B22" i="7"/>
  <c r="D17" i="7"/>
  <c r="C17" i="7"/>
  <c r="B17" i="7"/>
  <c r="E16" i="7"/>
  <c r="E15" i="7"/>
  <c r="E14" i="7"/>
  <c r="E10" i="7"/>
  <c r="C49" i="5"/>
  <c r="C48" i="5"/>
  <c r="C47" i="5"/>
  <c r="C46" i="5"/>
  <c r="C45" i="5"/>
  <c r="C44" i="5"/>
  <c r="C43" i="5"/>
  <c r="C33" i="5"/>
  <c r="D24" i="5"/>
  <c r="C24" i="5"/>
  <c r="B24" i="5"/>
  <c r="D23" i="5"/>
  <c r="C23" i="5"/>
  <c r="B23" i="5"/>
  <c r="D22" i="5"/>
  <c r="C22" i="5"/>
  <c r="B22" i="5"/>
  <c r="D17" i="5"/>
  <c r="C17" i="5"/>
  <c r="B17" i="5"/>
  <c r="E16" i="5"/>
  <c r="E15" i="5"/>
  <c r="E14" i="5"/>
  <c r="E10" i="5"/>
  <c r="C33" i="4"/>
  <c r="D24" i="4"/>
  <c r="C24" i="4"/>
  <c r="B24" i="4"/>
  <c r="D23" i="4"/>
  <c r="C23" i="4"/>
  <c r="B23" i="4"/>
  <c r="D22" i="4"/>
  <c r="C22" i="4"/>
  <c r="B22" i="4"/>
  <c r="D17" i="4"/>
  <c r="C17" i="4"/>
  <c r="B17" i="4"/>
  <c r="E16" i="4"/>
  <c r="E15" i="4"/>
  <c r="E14" i="4"/>
  <c r="E10" i="4"/>
  <c r="E27" i="3"/>
  <c r="E10" i="3"/>
  <c r="D24" i="3"/>
  <c r="C24" i="3"/>
  <c r="B24" i="3"/>
  <c r="D23" i="3"/>
  <c r="C23" i="3"/>
  <c r="B23" i="3"/>
  <c r="D22" i="3"/>
  <c r="C22" i="3"/>
  <c r="B22" i="3"/>
  <c r="D17" i="3"/>
  <c r="C17" i="3"/>
  <c r="B17" i="3"/>
  <c r="E16" i="3"/>
  <c r="E15" i="3"/>
  <c r="E14" i="3"/>
  <c r="E14" i="2"/>
  <c r="E15" i="2"/>
  <c r="E16" i="2"/>
  <c r="B17" i="2"/>
  <c r="C17" i="2"/>
  <c r="D17" i="2"/>
  <c r="B22" i="2"/>
  <c r="C22" i="2"/>
  <c r="D22" i="2"/>
  <c r="E22" i="2"/>
  <c r="B23" i="2"/>
  <c r="C23" i="2"/>
  <c r="D23" i="2"/>
  <c r="E23" i="2"/>
  <c r="B24" i="2"/>
  <c r="C24" i="2"/>
  <c r="D24" i="2"/>
  <c r="B25" i="2"/>
  <c r="C25" i="2"/>
  <c r="D25" i="2"/>
  <c r="B30" i="2"/>
  <c r="B31" i="2"/>
  <c r="B32" i="2"/>
  <c r="B35" i="2"/>
  <c r="E30" i="11" l="1"/>
  <c r="D35" i="11"/>
  <c r="C35" i="11"/>
  <c r="B35" i="11"/>
  <c r="E34" i="11"/>
  <c r="E33" i="11"/>
  <c r="E32" i="11"/>
  <c r="E29" i="11"/>
  <c r="E24" i="11"/>
  <c r="E31" i="11"/>
  <c r="B40" i="11"/>
  <c r="B41" i="11"/>
  <c r="B42" i="11"/>
  <c r="D35" i="10"/>
  <c r="B35" i="10"/>
  <c r="E32" i="10"/>
  <c r="B47" i="10" s="1"/>
  <c r="C35" i="10"/>
  <c r="E34" i="10"/>
  <c r="B49" i="10" s="1"/>
  <c r="E33" i="10"/>
  <c r="B48" i="10" s="1"/>
  <c r="E24" i="10"/>
  <c r="B41" i="10"/>
  <c r="B42" i="10"/>
  <c r="E31" i="10"/>
  <c r="B46" i="10" s="1"/>
  <c r="E29" i="10"/>
  <c r="B40" i="10"/>
  <c r="E30" i="10"/>
  <c r="B45" i="10" s="1"/>
  <c r="D25" i="9"/>
  <c r="C25" i="9"/>
  <c r="B25" i="9"/>
  <c r="E22" i="9"/>
  <c r="E17" i="9"/>
  <c r="B33" i="9" s="1"/>
  <c r="B32" i="9"/>
  <c r="B31" i="9"/>
  <c r="B30" i="9"/>
  <c r="E24" i="9"/>
  <c r="B36" i="9" s="1"/>
  <c r="E23" i="9"/>
  <c r="B35" i="9" s="1"/>
  <c r="B31" i="8"/>
  <c r="C25" i="8"/>
  <c r="B30" i="8"/>
  <c r="D25" i="8"/>
  <c r="E24" i="8"/>
  <c r="B36" i="8" s="1"/>
  <c r="B32" i="8"/>
  <c r="E17" i="8"/>
  <c r="B33" i="8" s="1"/>
  <c r="B25" i="8"/>
  <c r="E23" i="8"/>
  <c r="B35" i="8" s="1"/>
  <c r="E22" i="8"/>
  <c r="C25" i="7"/>
  <c r="E22" i="7"/>
  <c r="B31" i="7"/>
  <c r="B32" i="7"/>
  <c r="E24" i="7"/>
  <c r="B36" i="7" s="1"/>
  <c r="B30" i="7"/>
  <c r="B25" i="7"/>
  <c r="E17" i="7"/>
  <c r="B33" i="7" s="1"/>
  <c r="D25" i="7"/>
  <c r="E23" i="7"/>
  <c r="B35" i="7" s="1"/>
  <c r="E24" i="5"/>
  <c r="C25" i="5"/>
  <c r="E22" i="5"/>
  <c r="D25" i="5"/>
  <c r="B25" i="5"/>
  <c r="E23" i="5"/>
  <c r="E17" i="5"/>
  <c r="B33" i="5" s="1"/>
  <c r="B30" i="5"/>
  <c r="B31" i="5"/>
  <c r="B32" i="5"/>
  <c r="D25" i="4"/>
  <c r="C25" i="4"/>
  <c r="B25" i="4"/>
  <c r="E24" i="4"/>
  <c r="E23" i="4"/>
  <c r="E22" i="4"/>
  <c r="B32" i="4"/>
  <c r="B31" i="4"/>
  <c r="B30" i="4"/>
  <c r="E17" i="4"/>
  <c r="B33" i="4" s="1"/>
  <c r="D25" i="3"/>
  <c r="E17" i="3"/>
  <c r="B33" i="3" s="1"/>
  <c r="B32" i="3"/>
  <c r="B31" i="3"/>
  <c r="B30" i="3"/>
  <c r="C25" i="3"/>
  <c r="B25" i="3"/>
  <c r="E24" i="3"/>
  <c r="B36" i="3" s="1"/>
  <c r="E23" i="3"/>
  <c r="B35" i="3" s="1"/>
  <c r="E22" i="3"/>
  <c r="B34" i="2"/>
  <c r="E17" i="2"/>
  <c r="B33" i="2" s="1"/>
  <c r="E24" i="2"/>
  <c r="B45" i="11" l="1"/>
  <c r="B46" i="11"/>
  <c r="B47" i="11"/>
  <c r="B49" i="11"/>
  <c r="B43" i="11"/>
  <c r="B44" i="11"/>
  <c r="E35" i="11"/>
  <c r="B48" i="11"/>
  <c r="B43" i="10"/>
  <c r="E35" i="10"/>
  <c r="E37" i="10" s="1"/>
  <c r="B44" i="10"/>
  <c r="E25" i="9"/>
  <c r="E27" i="9" s="1"/>
  <c r="B34" i="9"/>
  <c r="E25" i="8"/>
  <c r="E27" i="8" s="1"/>
  <c r="B34" i="8"/>
  <c r="E25" i="7"/>
  <c r="E27" i="7" s="1"/>
  <c r="B34" i="7"/>
  <c r="B34" i="5"/>
  <c r="B36" i="5"/>
  <c r="B35" i="5"/>
  <c r="E25" i="5"/>
  <c r="E27" i="5" s="1"/>
  <c r="B36" i="4"/>
  <c r="B34" i="4"/>
  <c r="E25" i="4"/>
  <c r="B35" i="4"/>
  <c r="E25" i="3"/>
  <c r="B34" i="3"/>
  <c r="E25" i="2"/>
  <c r="B36" i="2"/>
  <c r="E37" i="11" l="1"/>
  <c r="E2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DB501AF9-723F-4B5A-AC98-F48048EB0348}">
      <text>
        <r>
          <rPr>
            <b/>
            <sz val="9"/>
            <color indexed="81"/>
            <rFont val="Tahoma"/>
            <family val="2"/>
          </rPr>
          <t>Anil Jacob:</t>
        </r>
        <r>
          <rPr>
            <sz val="9"/>
            <color indexed="81"/>
            <rFont val="Tahoma"/>
            <family val="2"/>
          </rPr>
          <t xml:space="preserve">
</t>
        </r>
        <r>
          <rPr>
            <sz val="9"/>
            <color indexed="81"/>
            <rFont val="Segoe UI"/>
            <family val="2"/>
          </rPr>
          <t xml:space="preserve">| #  | Inference                                                                                                    
| 1  | Solver prioritized NA_West because it generated the strongest marginal forecast uplift efficiency under RAF and Renewals investment levers.                                                                                                     |
| 2  | Renewals emerged as the most economically attractive mitigation lever due to superior near-term realizable ROI coefficients across all geographies.                                                                                             |
| 3  | RAF investments were fully exhausted immediately, indicating strong acceleration efficiency and high scarcity value of tactical CRR deployment.                                                                                                 |
| 4  | Discounts were deployed tactically only in NA_East after higher-efficiency Renewals opportunities became partially saturated.                                                                                                                   |
| 5  | DACH received zero capital allocation because its ROI coefficients were economically inferior relative to NA geographies under constrained capital conditions.                                                                                  |
| 6  | The optimization model demonstrated that equal regional CRR allocation is economically suboptimal versus concentrated high-efficiency deployment.                                                                                               |
| 7  | Total forecast uplift converged at 8.06M, proving that the currently approved 4M CRR pool is insufficient to fully recover the 9.85M forecast gap.                                                                                              |
| 8  | Approximately 1.78M residual forecast exposure remains structurally unresolved under current capital and operational constraints.                                                                                                               |
| 9  | All major CRR resource pools became binding constraints, indicating additional forecast recovery would require incremental RAF or Renewals capacity expansion.                                                                                  |
| 10 | Important Lesson: Linear Programming successfully identified optimal constrained capital deployment strategy, exposed commercial bottlenecks and quantified residual forecast risk more effectively than intuitive equal-allocation approaches.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C24747A5-B5DE-4CAA-BF01-E1D01370D5A0}">
      <text>
        <r>
          <rPr>
            <b/>
            <sz val="9"/>
            <color indexed="81"/>
            <rFont val="Tahoma"/>
            <family val="2"/>
          </rPr>
          <t>Anil Jacob:</t>
        </r>
        <r>
          <rPr>
            <sz val="9"/>
            <color indexed="81"/>
            <rFont val="Tahoma"/>
            <family val="2"/>
          </rPr>
          <t xml:space="preserve">
Inference                                                                                                                                                                                                                                                                                                                                     
| 1  | Increasing RAF capacity from 1.5M → 2.5M fundamentally changed the optimization frontier and nearly eliminated the total forecast gap.                                                                                                                                                                                                        |
| 2  | Scenario 2 proved that RAF scarcity was the primary commercial bottleneck limiting forecast recovery in Scenario 1.                                                                                                                                                                                                                           |
| 3  | Solver aggressively redirected incremental RAF capital into NA_West because it generated the strongest marginal uplift efficiency under expanded resource conditions.                                                                                                                                                                         |
| 4  | NA_West became almost entirely RAF-driven, demonstrating that tactical acceleration funding was more economically attractive than additional Renewals deployment in that geography.                                                                                                                                                           |
| 5  | Renewals allocation shifted heavily toward NA_East because Solver optimized the remaining highest-efficiency recovery opportunities after RAF expansion saturated NA_West uplift capacity.                                                                                                                                                    |
| 6  | DACH entered the optimal solution only after additional RAF capacity reduced pressure on higher-efficiency NA recovery opportunities. This demonstrates expansion of the feasible optimization frontier.                                                                                                                                      |
| 7  | Discounts remained a tactical lever and were deployed only in DACH after higher-efficiency RAF and Renewals opportunities became constrained.                                                                                                                                                                                                 |
| 8  | The optimization model successfully recovered ~99.4% of the total forecast gap leaving only ~56K residual exposure, which is operationally negligible at enterprise forecasting scale.                                                                                                                                                        |
| 9  | All major CRR pools remained binding constraints, indicating additional uplift may still be achievable with further CRR expansion or introduction of new mitigation levers.                                                                                                                                                                   |
| 10 | Important Lesson: Small increases in high-efficiency CRR resources can dramatically alter optimal commercial strategy, resource allocation patterns, regional prioritization and residual forecast risk outcomes. Linear Programming exposed the true economic leverage of RAF expansion more effectively than intuitive planning approaches. |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0F85B180-948B-4920-93D5-B4CF1857EEBA}">
      <text>
        <r>
          <rPr>
            <b/>
            <sz val="9"/>
            <color indexed="81"/>
            <rFont val="Tahoma"/>
            <family val="2"/>
          </rPr>
          <t>Anil Jacob:</t>
        </r>
        <r>
          <rPr>
            <sz val="9"/>
            <color indexed="81"/>
            <rFont val="Tahoma"/>
            <family val="2"/>
          </rPr>
          <t xml:space="preserve">
Inference                                                                                                                                                                                                                                                                                                                                     
| 1  | Increasing RAF capacity from 1.5M → 2.5M fundamentally changed the optimization frontier and nearly eliminated the total forecast gap.                                                                                                                                                                                                        |
| 2  | Scenario 2 proved that RAF scarcity was the primary commercial bottleneck limiting forecast recovery in Scenario 1.                                                                                                                                                                                                                           |
| 3  | Solver aggressively redirected incremental RAF capital into NA_West because it generated the strongest marginal uplift efficiency under expanded resource conditions.                                                                                                                                                                         |
| 4  | NA_West became almost entirely RAF-driven, demonstrating that tactical acceleration funding was more economically attractive than additional Renewals deployment in that geography.                                                                                                                                                           |
| 5  | Renewals allocation shifted heavily toward NA_East because Solver optimized the remaining highest-efficiency recovery opportunities after RAF expansion saturated NA_West uplift capacity.                                                                                                                                                    |
| 6  | DACH entered the optimal solution only after additional RAF capacity reduced pressure on higher-efficiency NA recovery opportunities. This demonstrates expansion of the feasible optimization frontier.                                                                                                                                      |
| 7  | Discounts remained a tactical lever and were deployed only in DACH after higher-efficiency RAF and Renewals opportunities became constrained.                                                                                                                                                                                                 |
| 8  | The optimization model successfully recovered ~99.4% of the total forecast gap leaving only ~56K residual exposure, which is operationally negligible at enterprise forecasting scale.                                                                                                                                                        |
| 9  | All major CRR pools remained binding constraints, indicating additional uplift may still be achievable with further CRR expansion or introduction of new mitigation levers.                                                                                                                                                                   |
| 10 | Important Lesson: Small increases in high-efficiency CRR resources can dramatically alter optimal commercial strategy, resource allocation patterns, regional prioritization and residual forecast risk outcomes. Linear Programming exposed the true economic leverage of RAF expansion more effectively than intuitive planning approaches. |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79BE13A8-2444-42F5-B71C-D06837EDCD64}">
      <text>
        <r>
          <rPr>
            <b/>
            <sz val="9"/>
            <color indexed="81"/>
            <rFont val="Tahoma"/>
            <family val="2"/>
          </rPr>
          <t>Anil Jacob:</t>
        </r>
        <r>
          <rPr>
            <sz val="9"/>
            <color indexed="81"/>
            <rFont val="Tahoma"/>
            <family val="2"/>
          </rPr>
          <t xml:space="preserve">
Inference                                                                                                                                                                                                                                                                                                                                     
| 1  | Increasing RAF capacity from 1.5M → 2.5M fundamentally changed the optimization frontier and nearly eliminated the total forecast gap.                                                                                                                                                                                                        |
| 2  | Scenario 2 proved that RAF scarcity was the primary commercial bottleneck limiting forecast recovery in Scenario 1.                                                                                                                                                                                                                           |
| 3  | Solver aggressively redirected incremental RAF capital into NA_West because it generated the strongest marginal uplift efficiency under expanded resource conditions.                                                                                                                                                                         |
| 4  | NA_West became almost entirely RAF-driven, demonstrating that tactical acceleration funding was more economically attractive than additional Renewals deployment in that geography.                                                                                                                                                           |
| 5  | Renewals allocation shifted heavily toward NA_East because Solver optimized the remaining highest-efficiency recovery opportunities after RAF expansion saturated NA_West uplift capacity.                                                                                                                                                    |
| 6  | DACH entered the optimal solution only after additional RAF capacity reduced pressure on higher-efficiency NA recovery opportunities. This demonstrates expansion of the feasible optimization frontier.                                                                                                                                      |
| 7  | Discounts remained a tactical lever and were deployed only in DACH after higher-efficiency RAF and Renewals opportunities became constrained.                                                                                                                                                                                                 |
| 8  | The optimization model successfully recovered ~99.4% of the total forecast gap leaving only ~56K residual exposure, which is operationally negligible at enterprise forecasting scale.                                                                                                                                                        |
| 9  | All major CRR pools remained binding constraints, indicating additional uplift may still be achievable with further CRR expansion or introduction of new mitigation levers.                                                                                                                                                                   |
| 10 | Important Lesson: Small increases in high-efficiency CRR resources can dramatically alter optimal commercial strategy, resource allocation patterns, regional prioritization and residual forecast risk outcomes. Linear Programming exposed the true economic leverage of RAF expansion more effectively than intuitive planning approaches. |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3399FDAC-7BA3-444F-988D-DEB225739A7A}">
      <text>
        <r>
          <rPr>
            <b/>
            <sz val="9"/>
            <color indexed="81"/>
            <rFont val="Tahoma"/>
            <family val="2"/>
          </rPr>
          <t>Anil Jacob:</t>
        </r>
        <r>
          <rPr>
            <sz val="9"/>
            <color indexed="81"/>
            <rFont val="Tahoma"/>
            <family val="2"/>
          </rPr>
          <t xml:space="preserve">
#  | Inference                                                                                                                                                                                                                                                            
| 1  | Discount-only optimization produced materially inferior forecast recovery efficiency compared to blended CRR deployment strategies.                                                                                                                                  |
| 2  | Even after expanding discount investment capacity to 5M, Solver recovered only 6.88M of the 9.85M forecast gap leaving ~2.97M unresolved.                                                                                                                            |
| 3  | Solver concentrated nearly all discount deployment into NA_West because that geography produced the strongest marginal discount realization efficiency.                                                                                                              |
| 4  | NA_East received only partial allocation after NA_West gap saturation while DACH received zero investment due to structurally inferior discount ROI economics.                                                                                                       |
| 5  | The implied uplift efficiency of ~1.38x demonstrates weak capital productivity relative to RAF and Renewals-based mitigation strategies.                                                                                                                             |
| 6  | Scenario 3 validates that discounting functions effectively as a tactical conversion accelerator but not as a scalable primary forecast recovery mechanism.                                                                                                          |
| 7  | Solver mathematically proved that aggressive discount expansion alone cannot economically recover the full forecast gap under current ROI assumptions.                                                                                                               |
| 8  | Increasing discount investment beyond 5M eventually closes the forecast gap mathematically but produces economically unattractive returns (~1.23x at 8M spend).                                                                                                      |
| 9  | Heavy dependency on discount-led recovery introduces finance governance concerns including margin deterioration, low-quality revenue creation and long-term pricing integrity erosion.                                                                               |
| 10 | Scenario 3 demonstrates that feasible optimization solutions are not necessarily strategically acceptable from a corporate finance perspective.                                                                                                                      |
| 11 | The scenario highlights the importance of evaluating not only forecast recovery magnitude but also capital efficiency and quality of uplift generated.                                                                                                               |
| 12 | Important Lesson: Linear Programming exposed the structural weakness of discount-led commercial recovery strategies and demonstrated why organizations prioritize higher-efficiency levers such as RAF and Renewals before deploying aggressive pricing concessions. |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B2E0D7CE-32E2-47E1-A312-2CE239278095}">
      <text>
        <r>
          <rPr>
            <b/>
            <sz val="9"/>
            <color indexed="81"/>
            <rFont val="Tahoma"/>
            <family val="2"/>
          </rPr>
          <t>Anil Jacob:</t>
        </r>
        <r>
          <rPr>
            <sz val="9"/>
            <color indexed="81"/>
            <rFont val="Tahoma"/>
            <family val="2"/>
          </rPr>
          <t xml:space="preserve">
#  | Inference                                                                                                                                                                                                                                                            
| 1  | Discount-only optimization produced materially inferior forecast recovery efficiency compared to blended CRR deployment strategies.                                                                                                                                  |
| 2  | Even after expanding discount investment capacity to 5M, Solver recovered only 6.88M of the 9.85M forecast gap leaving ~2.97M unresolved.                                                                                                                            |
| 3  | Solver concentrated nearly all discount deployment into NA_West because that geography produced the strongest marginal discount realization efficiency.                                                                                                              |
| 4  | NA_East received only partial allocation after NA_West gap saturation while DACH received zero investment due to structurally inferior discount ROI economics.                                                                                                       |
| 5  | The implied uplift efficiency of ~1.38x demonstrates weak capital productivity relative to RAF and Renewals-based mitigation strategies.                                                                                                                             |
| 6  | Scenario 3 validates that discounting functions effectively as a tactical conversion accelerator but not as a scalable primary forecast recovery mechanism.                                                                                                          |
| 7  | Solver mathematically proved that aggressive discount expansion alone cannot economically recover the full forecast gap under current ROI assumptions.                                                                                                               |
| 8  | Increasing discount investment beyond 5M eventually closes the forecast gap mathematically but produces economically unattractive returns (~1.23x at 8M spend).                                                                                                      |
| 9  | Heavy dependency on discount-led recovery introduces finance governance concerns including margin deterioration, low-quality revenue creation and long-term pricing integrity erosion.                                                                               |
| 10 | Scenario 3 demonstrates that feasible optimization solutions are not necessarily strategically acceptable from a corporate finance perspective.                                                                                                                      |
| 11 | The scenario highlights the importance of evaluating not only forecast recovery magnitude but also capital efficiency and quality of uplift generated.                                                                                                               |
| 12 | Important Lesson: Linear Programming exposed the structural weakness of discount-led commercial recovery strategies and demonstrated why organizations prioritize higher-efficiency levers such as RAF and Renewals before deploying aggressive pricing concessions. |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7A27A33F-3D3B-4B80-861A-05F8F488930A}">
      <text>
        <r>
          <rPr>
            <b/>
            <sz val="9"/>
            <color indexed="81"/>
            <rFont val="Tahoma"/>
            <family val="2"/>
          </rPr>
          <t>Anil Jacob:</t>
        </r>
        <r>
          <rPr>
            <sz val="9"/>
            <color indexed="81"/>
            <rFont val="Tahoma"/>
            <family val="2"/>
          </rPr>
          <t xml:space="preserve">
#  | Inference                                                                                                                                                                                                                                                            
| 1  | Discount-only optimization produced materially inferior forecast recovery efficiency compared to blended CRR deployment strategies.                                                                                                                                  |
| 2  | Even after expanding discount investment capacity to 5M, Solver recovered only 6.88M of the 9.85M forecast gap leaving ~2.97M unresolved.                                                                                                                            |
| 3  | Solver concentrated nearly all discount deployment into NA_West because that geography produced the strongest marginal discount realization efficiency.                                                                                                              |
| 4  | NA_East received only partial allocation after NA_West gap saturation while DACH received zero investment due to structurally inferior discount ROI economics.                                                                                                       |
| 5  | The implied uplift efficiency of ~1.38x demonstrates weak capital productivity relative to RAF and Renewals-based mitigation strategies.                                                                                                                             |
| 6  | Scenario 3 validates that discounting functions effectively as a tactical conversion accelerator but not as a scalable primary forecast recovery mechanism.                                                                                                          |
| 7  | Solver mathematically proved that aggressive discount expansion alone cannot economically recover the full forecast gap under current ROI assumptions.                                                                                                               |
| 8  | Increasing discount investment beyond 5M eventually closes the forecast gap mathematically but produces economically unattractive returns (~1.23x at 8M spend).                                                                                                      |
| 9  | Heavy dependency on discount-led recovery introduces finance governance concerns including margin deterioration, low-quality revenue creation and long-term pricing integrity erosion.                                                                               |
| 10 | Scenario 3 demonstrates that feasible optimization solutions are not necessarily strategically acceptable from a corporate finance perspective.                                                                                                                      |
| 11 | The scenario highlights the importance of evaluating not only forecast recovery magnitude but also capital efficiency and quality of uplift generated.                                                                                                               |
| 12 | Important Lesson: Linear Programming exposed the structural weakness of discount-led commercial recovery strategies and demonstrated why organizations prioritize higher-efficiency levers such as RAF and Renewals before deploying aggressive pricing concessions. |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AD449018-F41C-4C9E-8446-5C528D7BAE5C}">
      <text>
        <r>
          <rPr>
            <b/>
            <sz val="9"/>
            <color indexed="81"/>
            <rFont val="Tahoma"/>
            <family val="2"/>
          </rPr>
          <t>Anil Jacob:</t>
        </r>
        <r>
          <rPr>
            <sz val="9"/>
            <color indexed="81"/>
            <rFont val="Tahoma"/>
            <family val="2"/>
          </rPr>
          <t xml:space="preserve">
#  | Inference                                                                                                                                                                                                                                                                                
| 1  | RAF-only optimization successfully achieved complete enterprise forecast gap recovery without requiring support from Renewals or Discounts.                                                                                                                                              |
| 2  | Solver demonstrated that RAF functions as a highly scalable commercial acceleration engine capable of driving recovery across all geographies simultaneously.                                                                                                                            |
| 3  | The model achieved full 9.85M forecast recovery using 5.42M of RAF investment with an effective uplift efficiency of ~1.82x.                                                                                                                                                             |
| 4  | Unlike discount-led strategies, RAF-based recovery preserved revenue quality, pricing integrity and governance posture while still delivering full forecast attainment.                                                                                                                  |
| 5  | Solver sequentially allocated RAF capital across NA_West, NA_East and DACH according to marginal uplift efficiency until all geographic forecast gaps were completely saturated.                                                                                                         |
| 6  | Scenario 6 demonstrates that RAF scales more effectively across geographies than Renewals because RAF is not constrained by finite renewable ARR pools or contract timing limitations.                                                                                                   |
| 7  | NA_West received the largest RAF allocation because it generated the strongest marginal uplift efficiency under the RAF coefficient structure.                                                                                                                                           |
| 8  | DACH achieved complete forecast recovery only after sufficient RAF pool expansion broadened the feasible optimization frontier beyond higher-efficiency NA recovery opportunities.                                                                                                       |
| 9  | The scenario mathematically validates RAF as the strongest standalone scalability mechanism among all tested mitigation levers.                                                                                                                                                          |
| 10 | Compared to Renewals-only optimization, RAF required higher capital intensity but provided materially stronger enterprise-wide scalability and complete geographic recovery coverage.                                                                                                    |
| 11 | Scenario 6 confirms that RAF investments behave as operational acceleration catalysts rather than margin-destructive commercial concessions, making them strategically superior to aggressive discount-led mitigation approaches.                                                        
|
| 12 | Important Lesson: Linear Programming exposed RAF as the most scalable standalone forecast recovery engine, capable of restoring complete enterprise forecast attainment while maintaining strong governance quality, broad operational flexibility and sustainable commercial economics. |
</t>
        </r>
      </text>
    </comment>
  </commentList>
</comments>
</file>

<file path=xl/sharedStrings.xml><?xml version="1.0" encoding="utf-8"?>
<sst xmlns="http://schemas.openxmlformats.org/spreadsheetml/2006/main" count="1143" uniqueCount="201">
  <si>
    <t>CRR Optimization Model – Q4 FY26 Forecast Mitigation</t>
  </si>
  <si>
    <t>SECTION A — ROI Coefficient Matrix</t>
  </si>
  <si>
    <t>Geography</t>
  </si>
  <si>
    <t>RAF ROI</t>
  </si>
  <si>
    <t>Renewals ROI</t>
  </si>
  <si>
    <t>Discounts ROI</t>
  </si>
  <si>
    <t>Gap to Budget</t>
  </si>
  <si>
    <t>NA_West</t>
  </si>
  <si>
    <t>NA_East</t>
  </si>
  <si>
    <t>DACH</t>
  </si>
  <si>
    <t>SECTION B — Decision Variable Matrix (Solver Input Cells)</t>
  </si>
  <si>
    <t>RAF Invest</t>
  </si>
  <si>
    <t>Renewals Invest</t>
  </si>
  <si>
    <t>Discounts Invest</t>
  </si>
  <si>
    <t>Total Investment</t>
  </si>
  <si>
    <t>TOTAL</t>
  </si>
  <si>
    <t>SECTION C — Forecast Uplift Matrix</t>
  </si>
  <si>
    <t>RAF Lift</t>
  </si>
  <si>
    <t>Renewals Lift</t>
  </si>
  <si>
    <t>Discounts Lift</t>
  </si>
  <si>
    <t>Total Forecast Lift</t>
  </si>
  <si>
    <t>TOTAL UPLIFT</t>
  </si>
  <si>
    <t>SECTION D — Solver Constraints</t>
  </si>
  <si>
    <t>Constraint</t>
  </si>
  <si>
    <t>Formula / Used</t>
  </si>
  <si>
    <t>Limit</t>
  </si>
  <si>
    <t>Total RAF Investment</t>
  </si>
  <si>
    <t>Total Renewals Investment</t>
  </si>
  <si>
    <t>Total Discount Investment</t>
  </si>
  <si>
    <t>Total CRR Allocation</t>
  </si>
  <si>
    <t>NA_West Lift</t>
  </si>
  <si>
    <t>NA_East Lift</t>
  </si>
  <si>
    <t>DACH Lift</t>
  </si>
  <si>
    <r>
      <rPr>
        <b/>
        <sz val="10"/>
        <color theme="1"/>
        <rFont val="Segoe UI"/>
        <family val="2"/>
      </rPr>
      <t xml:space="preserve">Business Scenario:
</t>
    </r>
    <r>
      <rPr>
        <sz val="10"/>
        <color theme="1"/>
        <rFont val="Segoe UI"/>
        <family val="2"/>
      </rPr>
      <t xml:space="preserve">At the end of March FY26 Q3 reporting cycle, Qualified Pipeline Forecast indicates:
• Forecast: </t>
    </r>
    <r>
      <rPr>
        <b/>
        <sz val="10"/>
        <color theme="1"/>
        <rFont val="Segoe UI"/>
        <family val="2"/>
      </rPr>
      <t>148M</t>
    </r>
    <r>
      <rPr>
        <sz val="10"/>
        <color theme="1"/>
        <rFont val="Segoe UI"/>
        <family val="2"/>
      </rPr>
      <t xml:space="preserve">
• Budget: </t>
    </r>
    <r>
      <rPr>
        <b/>
        <sz val="10"/>
        <color theme="1"/>
        <rFont val="Segoe UI"/>
        <family val="2"/>
      </rPr>
      <t>160M</t>
    </r>
    <r>
      <rPr>
        <sz val="10"/>
        <color theme="1"/>
        <rFont val="Segoe UI"/>
        <family val="2"/>
      </rPr>
      <t xml:space="preserve">
• Gap to Budget (VTB): </t>
    </r>
    <r>
      <rPr>
        <sz val="10"/>
        <color rgb="FFFF0000"/>
        <rFont val="Segoe UI"/>
        <family val="2"/>
      </rPr>
      <t>-12M</t>
    </r>
    <r>
      <rPr>
        <sz val="10"/>
        <color theme="1"/>
        <rFont val="Segoe UI"/>
        <family val="2"/>
      </rPr>
      <t xml:space="preserve">
• Attainment: </t>
    </r>
    <r>
      <rPr>
        <sz val="10"/>
        <color rgb="FFFF0000"/>
        <rFont val="Segoe UI"/>
        <family val="2"/>
      </rPr>
      <t>92.5%</t>
    </r>
    <r>
      <rPr>
        <sz val="10"/>
        <color theme="1"/>
        <rFont val="Segoe UI"/>
        <family val="2"/>
      </rPr>
      <t xml:space="preserve">
The top 3 underperforming geographies (NA_West, NA_East, DACH) contribute ~9.85M of the total gap.
Management has approved tactical CRR deployment to accelerate Q4 forecast realization.
</t>
    </r>
    <r>
      <rPr>
        <b/>
        <sz val="10"/>
        <color theme="1"/>
        <rFont val="Segoe UI"/>
        <family val="2"/>
      </rPr>
      <t>Optimization Goal</t>
    </r>
    <r>
      <rPr>
        <sz val="10"/>
        <color theme="1"/>
        <rFont val="Segoe UI"/>
        <family val="2"/>
      </rPr>
      <t xml:space="preserve">:
Maximize Incremental Forecast Lift through optimal allocation of limited CRR capital
across selected geographies and investment levers while respecting operational and governance constraints.
</t>
    </r>
    <r>
      <rPr>
        <b/>
        <sz val="10"/>
        <color theme="1"/>
        <rFont val="Segoe UI"/>
        <family val="2"/>
      </rPr>
      <t>Decision Variables:</t>
    </r>
    <r>
      <rPr>
        <sz val="10"/>
        <color theme="1"/>
        <rFont val="Segoe UI"/>
        <family val="2"/>
      </rPr>
      <t xml:space="preserve">
The Solver decision variables represent CRR investment allocations by Geography × Investment Lever.
Solver will determine the optimal capital deployment mix to maximize total forecast uplift.</t>
    </r>
  </si>
  <si>
    <t>Scenario ID</t>
  </si>
  <si>
    <t>Binding Constraints</t>
  </si>
  <si>
    <t>S1</t>
  </si>
  <si>
    <t>Field</t>
  </si>
  <si>
    <t>Details</t>
  </si>
  <si>
    <t>Scenario Description</t>
  </si>
  <si>
    <t>Baseline Q4 FY26 CRR Optimization – Initial Solver Run</t>
  </si>
  <si>
    <t>Optimization Goal</t>
  </si>
  <si>
    <t>Maximize Q4 Incremental Forecast Lift under constrained CRR resources</t>
  </si>
  <si>
    <t>Total Gap to Budget</t>
  </si>
  <si>
    <t>Total Available CRR</t>
  </si>
  <si>
    <t>Total Forecast Uplift Achieved</t>
  </si>
  <si>
    <t>Residual Forecast Risk Remaining</t>
  </si>
  <si>
    <t>Solver Outcome</t>
  </si>
  <si>
    <t>Partial gap recovery achieved under constrained capital conditions</t>
  </si>
  <si>
    <t xml:space="preserve">Scenario S1: </t>
  </si>
  <si>
    <t>Baseline CRR Optimization</t>
  </si>
  <si>
    <t>Decision Variable Alloctaions</t>
  </si>
  <si>
    <t>Forecast Uplift Generated</t>
  </si>
  <si>
    <t>Observation</t>
  </si>
  <si>
    <t>RAF Pool</t>
  </si>
  <si>
    <t>Fully exhausted</t>
  </si>
  <si>
    <t>Renewals Pool</t>
  </si>
  <si>
    <t>Discount Pool</t>
  </si>
  <si>
    <t>NA_West Gap Constraint</t>
  </si>
  <si>
    <t>Fully saturated</t>
  </si>
  <si>
    <t xml:space="preserve">Objective function (Expanded) </t>
  </si>
  <si>
    <t>Maximize Total Forecast Lift Z =</t>
  </si>
  <si>
    <t>(2.0 × NA_West RAF Investment)</t>
  </si>
  <si>
    <t>+</t>
  </si>
  <si>
    <t>(2.4 × NA_West Renewals Investment)</t>
  </si>
  <si>
    <t>(1.4 × NA_West Discounts Investment)</t>
  </si>
  <si>
    <t>(1.7 × NA_East RAF Investment)</t>
  </si>
  <si>
    <t>(2.2 × NA_East Renewals Investment)</t>
  </si>
  <si>
    <t>(1.3 × NA_East Discounts Investment)</t>
  </si>
  <si>
    <t>(1.5 × DACH RAF Investment)</t>
  </si>
  <si>
    <t>(2.0 × DACH Renewals Investment)</t>
  </si>
  <si>
    <t>(1.2 × DACH Discounts Investment)</t>
  </si>
  <si>
    <t>Total</t>
  </si>
  <si>
    <t>Delta to Gap</t>
  </si>
  <si>
    <t>Decision Variable Allocations</t>
  </si>
  <si>
    <t>S2</t>
  </si>
  <si>
    <t>Expanded RAF Capacity – Incremental CRR Optimization</t>
  </si>
  <si>
    <t>Evaluate whether increased RAF capacity can materially reduce residual forecast exposure</t>
  </si>
  <si>
    <t>RAF Pool Increase</t>
  </si>
  <si>
    <t>1.5M → 2.5M</t>
  </si>
  <si>
    <t>Near-complete forecast gap recovery achieved</t>
  </si>
  <si>
    <t xml:space="preserve">Scenario S2: </t>
  </si>
  <si>
    <t>Expanded RAF Capacity Optimization</t>
  </si>
  <si>
    <t>NA_East Gap Constraint</t>
  </si>
  <si>
    <t>DACH Gap Constraint</t>
  </si>
  <si>
    <t>Residual recoverable uplift still available</t>
  </si>
  <si>
    <t>Non-Binding Constraints</t>
  </si>
  <si>
    <t xml:space="preserve">Scenario S3: </t>
  </si>
  <si>
    <t>Discounts-Only Strategy</t>
  </si>
  <si>
    <t>S3</t>
  </si>
  <si>
    <t>Discounts-Only Forecast Recovery Optimization</t>
  </si>
  <si>
    <t>Strategic Question</t>
  </si>
  <si>
    <t>Can aggressive deal discounting independently recover the Q4 forecast gap without RAF or Renewals investment support?</t>
  </si>
  <si>
    <t>Maximize forecast uplift using only discount-driven commercial acceleration</t>
  </si>
  <si>
    <t>Total Available Discount Investment</t>
  </si>
  <si>
    <t>RAF Investment Constraint</t>
  </si>
  <si>
    <t>Forced to 0</t>
  </si>
  <si>
    <t>Renewals Investment Constraint</t>
  </si>
  <si>
    <t>Implied Discount Recovery Efficiency</t>
  </si>
  <si>
    <t>1.38x</t>
  </si>
  <si>
    <t>Partial forecast recovery achieved but with materially weak capital efficiency</t>
  </si>
  <si>
    <t>Significant recoverable gap still remains</t>
  </si>
  <si>
    <t>No discount allocation economically justified</t>
  </si>
  <si>
    <t>RAF Constraint</t>
  </si>
  <si>
    <t>Forced inactive by scenario design</t>
  </si>
  <si>
    <t>Renewals Constraint</t>
  </si>
  <si>
    <t>Scenario</t>
  </si>
  <si>
    <t>Incremental Lift</t>
  </si>
  <si>
    <t>Marginal ROI</t>
  </si>
  <si>
    <t>Scenario (Discount Pool)</t>
  </si>
  <si>
    <t>S4A - 1M</t>
  </si>
  <si>
    <t>S4B - 2M</t>
  </si>
  <si>
    <t>S4C - 3M</t>
  </si>
  <si>
    <t>S4D - 4M</t>
  </si>
  <si>
    <t>S4E - 5M</t>
  </si>
  <si>
    <t>vs. Gap</t>
  </si>
  <si>
    <t>S4</t>
  </si>
  <si>
    <t>Renewals-Only Forecast Recovery Optimization</t>
  </si>
  <si>
    <t>Can installed-base renewal acceleration independently recover the Q4 forecast gap with superior capital efficiency?</t>
  </si>
  <si>
    <t>Maximize forecast uplift using only renewal pull-forward investments</t>
  </si>
  <si>
    <t>Total Available Renewals Investment Pool</t>
  </si>
  <si>
    <t>Discount Investment Constraint</t>
  </si>
  <si>
    <t>Effective Portfolio ROI</t>
  </si>
  <si>
    <t>2.27x</t>
  </si>
  <si>
    <t>Near-complete forecast recovery achieved with the strongest capital efficiency observed across all standalone mitigation strategies</t>
  </si>
  <si>
    <t>Total Renewals Investment Pool</t>
  </si>
  <si>
    <t>Small residual recoverable uplift still available</t>
  </si>
  <si>
    <t>Discounts Constraint</t>
  </si>
  <si>
    <t>Renewals - Only Forecast Recovery Strategy</t>
  </si>
  <si>
    <t>S5A - 1M</t>
  </si>
  <si>
    <t>S5B - 2M</t>
  </si>
  <si>
    <t>S5C - 3M</t>
  </si>
  <si>
    <t>S5E - 5M</t>
  </si>
  <si>
    <t>S5D - 4M</t>
  </si>
  <si>
    <t>S6</t>
  </si>
  <si>
    <t>RAF-Only Forecast Recovery Optimization</t>
  </si>
  <si>
    <t>Can RAF investment independently recover the entire Q4 forecast gap without support from Renewals or Discounts?</t>
  </si>
  <si>
    <t>Maximize forecast uplift using only RAF-driven commercial acceleration investments</t>
  </si>
  <si>
    <t>Total Available RAF Investment Pool</t>
  </si>
  <si>
    <t>1.82x</t>
  </si>
  <si>
    <t>Complete enterprise forecast gap recovery achieved using RAF as the sole mitigation lever</t>
  </si>
  <si>
    <t>RAF - Only Recovery Strategy</t>
  </si>
  <si>
    <t>RAF Investment Pool</t>
  </si>
  <si>
    <t>Nearly fully exhausted</t>
  </si>
  <si>
    <t>RAF Pool Ceiling</t>
  </si>
  <si>
    <t>Small residual capacity still available (~78K unused)</t>
  </si>
  <si>
    <t xml:space="preserve">Subject to: </t>
  </si>
  <si>
    <t>Total RAF Investment ≤ 5,500,000</t>
  </si>
  <si>
    <t>Renewals Investment = 0</t>
  </si>
  <si>
    <t>Discount Investment = 0</t>
  </si>
  <si>
    <t>UKI</t>
  </si>
  <si>
    <t>India</t>
  </si>
  <si>
    <t>ANZ</t>
  </si>
  <si>
    <t>S3A - 1M</t>
  </si>
  <si>
    <t>S3B - 2M</t>
  </si>
  <si>
    <t>S3C - 3M</t>
  </si>
  <si>
    <t>S3D - 4M</t>
  </si>
  <si>
    <t>S3E - 5M</t>
  </si>
  <si>
    <t>S3F - 6M</t>
  </si>
  <si>
    <t>S3G - 7M</t>
  </si>
  <si>
    <t>S3H - 8M</t>
  </si>
  <si>
    <t xml:space="preserve">Scenario S2-Qualified Pipe: </t>
  </si>
  <si>
    <t>Enterprise Portfolio Optimization (Multi-Geo CRR Allocation)</t>
  </si>
  <si>
    <t>S7</t>
  </si>
  <si>
    <t>Enterprise-Wide CRR Portfolio Optimization Across Global Geographies</t>
  </si>
  <si>
    <t>Can enterprise-wide forecast recovery be achieved through optimized RAF and Renewals allocation without requiring discount-led mitigation?</t>
  </si>
  <si>
    <t>Maximize global forecast uplift across all material geographies using constrained CRR deployment</t>
  </si>
  <si>
    <t>Total Enterprise Gap to Budget</t>
  </si>
  <si>
    <t>Total Available CRR Pool</t>
  </si>
  <si>
    <t>Renewals Investment Pool</t>
  </si>
  <si>
    <t>Discounts Investment Pool</t>
  </si>
  <si>
    <t>Total CRR Utilized</t>
  </si>
  <si>
    <t>Unused CRR Capacity Remaining</t>
  </si>
  <si>
    <t>1.98x</t>
  </si>
  <si>
    <t>Complete enterprise forecast recovery achieved without utilizing discount investments</t>
  </si>
  <si>
    <t>UKI Gap Constraint</t>
  </si>
  <si>
    <t>India Gap Constraint</t>
  </si>
  <si>
    <t>ANZ Gap Constraint</t>
  </si>
  <si>
    <t>Discount Investment Pool</t>
  </si>
  <si>
    <t>Completely unused</t>
  </si>
  <si>
    <t>Total RAF Investment Pool</t>
  </si>
  <si>
    <t>Small residual capacity remaining</t>
  </si>
  <si>
    <t>Significant residual capacity remaining (~1.0M unused)</t>
  </si>
  <si>
    <t>(1.6 × UKI RAF Investment)</t>
  </si>
  <si>
    <t>(2.1 × UKI Renewals Investment)</t>
  </si>
  <si>
    <t>(1.8 × India RAF Investment)</t>
  </si>
  <si>
    <t>(2.0 × India Renewals Investment)</t>
  </si>
  <si>
    <t>(1.6 × ANZ RAF Investment)</t>
  </si>
  <si>
    <t>(2.1 × ANZ Renewals Investment)</t>
  </si>
  <si>
    <t>(1.2 × UKI Discounts Investment)</t>
  </si>
  <si>
    <t>(1.3 × India Discounts Investment)</t>
  </si>
  <si>
    <t>(1.2 × ANZ Discounts Investment)</t>
  </si>
  <si>
    <t>S2A - 1M</t>
  </si>
  <si>
    <t>S2B - 2M</t>
  </si>
  <si>
    <t>S2C - 3M</t>
  </si>
  <si>
    <t>S2D - 4M</t>
  </si>
  <si>
    <t>S2E - 5M</t>
  </si>
  <si>
    <t>S2F - 6M</t>
  </si>
  <si>
    <t>S2G - 7M</t>
  </si>
  <si>
    <t>S5</t>
  </si>
  <si>
    <t>Renewals-Only 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</si>
</sst>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M&quot;"/>
    <numFmt numFmtId="165" formatCode="#,##0.00,,&quot;M&quot;"/>
  </numFmts>
  <fonts count="13" x14ac:knownFonts="1">
    <font>
      <sz val="11"/>
      <color theme="1"/>
      <name val="Calibri"/>
      <family val="2"/>
      <scheme val="minor"/>
    </font>
    <font>
      <b/>
      <sz val="16"/>
      <name val="Segoe UI"/>
      <family val="2"/>
    </font>
    <font>
      <sz val="11"/>
      <color theme="1"/>
      <name val="Segoe UI"/>
      <family val="2"/>
    </font>
    <font>
      <sz val="10"/>
      <color theme="1"/>
      <name val="Segoe UI"/>
      <family val="2"/>
    </font>
    <font>
      <b/>
      <sz val="10"/>
      <name val="Segoe UI"/>
      <family val="2"/>
    </font>
    <font>
      <b/>
      <sz val="10"/>
      <color rgb="FFFFFFFF"/>
      <name val="Segoe UI"/>
      <family val="2"/>
    </font>
    <font>
      <b/>
      <sz val="10"/>
      <color theme="1"/>
      <name val="Segoe UI"/>
      <family val="2"/>
    </font>
    <font>
      <sz val="10"/>
      <color rgb="FFFF0000"/>
      <name val="Segoe UI"/>
      <family val="2"/>
    </font>
    <font>
      <b/>
      <sz val="11"/>
      <color theme="1"/>
      <name val="Calibri"/>
      <family val="2"/>
      <scheme val="minor"/>
    </font>
    <font>
      <b/>
      <sz val="11"/>
      <color theme="1"/>
      <name val="Segoe UI"/>
      <family val="2"/>
    </font>
    <font>
      <sz val="9"/>
      <color indexed="81"/>
      <name val="Tahoma"/>
      <family val="2"/>
    </font>
    <font>
      <b/>
      <sz val="9"/>
      <color indexed="81"/>
      <name val="Tahoma"/>
      <family val="2"/>
    </font>
    <font>
      <sz val="9"/>
      <color indexed="81"/>
      <name val="Segoe UI"/>
      <family val="2"/>
    </font>
  </fonts>
  <fills count="9">
    <fill>
      <patternFill patternType="none"/>
    </fill>
    <fill>
      <patternFill patternType="gray125"/>
    </fill>
    <fill>
      <patternFill patternType="solid">
        <fgColor rgb="FF1F4E78"/>
        <bgColor rgb="FF1F4E78"/>
      </patternFill>
    </fill>
    <fill>
      <patternFill patternType="solid">
        <fgColor rgb="FFC6EFCE"/>
        <bgColor rgb="FFC6EFCE"/>
      </patternFill>
    </fill>
    <fill>
      <patternFill patternType="solid">
        <fgColor rgb="FFFFFF00"/>
        <bgColor indexed="64"/>
      </patternFill>
    </fill>
    <fill>
      <patternFill patternType="solid">
        <fgColor rgb="FFFFFF99"/>
        <bgColor indexed="64"/>
      </patternFill>
    </fill>
    <fill>
      <patternFill patternType="solid">
        <fgColor theme="0"/>
        <bgColor indexed="64"/>
      </patternFill>
    </fill>
    <fill>
      <patternFill patternType="solid">
        <fgColor theme="6" tint="0.39997558519241921"/>
        <bgColor indexed="64"/>
      </patternFill>
    </fill>
    <fill>
      <patternFill patternType="solid">
        <fgColor theme="4" tint="0.79998168889431442"/>
        <bgColor indexed="64"/>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44">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xf numFmtId="0" fontId="3" fillId="0" borderId="0" xfId="0" applyFont="1"/>
    <xf numFmtId="0" fontId="5" fillId="2" borderId="1" xfId="0" applyFont="1" applyFill="1" applyBorder="1" applyAlignment="1">
      <alignment horizontal="center"/>
    </xf>
    <xf numFmtId="0" fontId="3" fillId="0" borderId="1" xfId="0" applyFont="1" applyBorder="1"/>
    <xf numFmtId="0" fontId="4" fillId="3" borderId="1" xfId="0" applyFont="1" applyFill="1" applyBorder="1"/>
    <xf numFmtId="2" fontId="3" fillId="0" borderId="1" xfId="0" applyNumberFormat="1" applyFont="1" applyBorder="1"/>
    <xf numFmtId="3" fontId="3" fillId="0" borderId="1" xfId="0" applyNumberFormat="1" applyFont="1" applyBorder="1"/>
    <xf numFmtId="3" fontId="4" fillId="3" borderId="1" xfId="0" applyNumberFormat="1" applyFont="1" applyFill="1" applyBorder="1"/>
    <xf numFmtId="0" fontId="0" fillId="0" borderId="0" xfId="0" applyAlignment="1">
      <alignment vertical="center" wrapText="1"/>
    </xf>
    <xf numFmtId="0" fontId="8" fillId="0" borderId="0" xfId="0" applyFont="1" applyAlignment="1">
      <alignment horizontal="center" vertical="center"/>
    </xf>
    <xf numFmtId="0" fontId="0" fillId="0" borderId="0" xfId="0" applyAlignment="1">
      <alignment vertical="center"/>
    </xf>
    <xf numFmtId="0" fontId="8" fillId="0" borderId="0" xfId="0" applyFont="1" applyAlignment="1">
      <alignment horizontal="right" vertical="center"/>
    </xf>
    <xf numFmtId="0" fontId="3" fillId="0" borderId="0" xfId="0" applyFont="1" applyAlignment="1">
      <alignmen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6" fillId="0" borderId="0" xfId="0" applyFont="1" applyAlignment="1">
      <alignment horizontal="right" vertical="center"/>
    </xf>
    <xf numFmtId="0" fontId="3" fillId="0" borderId="0" xfId="0" applyFont="1" applyAlignment="1">
      <alignment vertical="center" wrapText="1"/>
    </xf>
    <xf numFmtId="3" fontId="3" fillId="0" borderId="0" xfId="0" applyNumberFormat="1" applyFont="1" applyAlignment="1">
      <alignment horizontal="right" vertical="center"/>
    </xf>
    <xf numFmtId="0" fontId="3" fillId="0" borderId="0" xfId="0" applyFont="1" applyAlignment="1">
      <alignment horizontal="right" vertical="center"/>
    </xf>
    <xf numFmtId="3" fontId="3" fillId="0" borderId="0" xfId="0" applyNumberFormat="1" applyFont="1" applyAlignment="1">
      <alignment vertical="center" wrapText="1"/>
    </xf>
    <xf numFmtId="0" fontId="6" fillId="0" borderId="0" xfId="0" applyFont="1" applyAlignment="1">
      <alignment vertical="center"/>
    </xf>
    <xf numFmtId="0" fontId="6" fillId="0" borderId="0" xfId="0" applyFont="1"/>
    <xf numFmtId="0" fontId="9" fillId="0" borderId="0" xfId="0" applyFont="1"/>
    <xf numFmtId="3" fontId="6" fillId="0" borderId="0" xfId="0" applyNumberFormat="1" applyFont="1"/>
    <xf numFmtId="3" fontId="3" fillId="4" borderId="1" xfId="0" applyNumberFormat="1" applyFont="1" applyFill="1" applyBorder="1"/>
    <xf numFmtId="0" fontId="3" fillId="0" borderId="0" xfId="0" applyFont="1" applyAlignment="1">
      <alignment horizontal="right"/>
    </xf>
    <xf numFmtId="3" fontId="3" fillId="5" borderId="1" xfId="0" applyNumberFormat="1" applyFont="1" applyFill="1" applyBorder="1"/>
    <xf numFmtId="3" fontId="3" fillId="6" borderId="1" xfId="0" applyNumberFormat="1" applyFont="1" applyFill="1" applyBorder="1"/>
    <xf numFmtId="3" fontId="3" fillId="0" borderId="0" xfId="0" applyNumberFormat="1" applyFont="1" applyAlignment="1">
      <alignment vertical="center"/>
    </xf>
    <xf numFmtId="0" fontId="8" fillId="0" borderId="0" xfId="0" applyFont="1" applyAlignment="1">
      <alignment horizontal="left" vertical="center"/>
    </xf>
    <xf numFmtId="3" fontId="3" fillId="0" borderId="0" xfId="0" applyNumberFormat="1" applyFont="1"/>
    <xf numFmtId="0" fontId="3" fillId="0" borderId="0" xfId="0" applyFont="1" applyAlignment="1">
      <alignment horizontal="left" vertical="center"/>
    </xf>
    <xf numFmtId="0" fontId="9" fillId="7" borderId="0" xfId="0" applyFont="1" applyFill="1"/>
    <xf numFmtId="0" fontId="3" fillId="7" borderId="0" xfId="0" applyFont="1" applyFill="1"/>
    <xf numFmtId="2" fontId="3" fillId="0" borderId="0" xfId="0" applyNumberFormat="1" applyFont="1"/>
    <xf numFmtId="3" fontId="3" fillId="8" borderId="1" xfId="0" applyNumberFormat="1" applyFont="1" applyFill="1" applyBorder="1"/>
    <xf numFmtId="164" fontId="3" fillId="0" borderId="0" xfId="0" applyNumberFormat="1" applyFont="1" applyAlignment="1">
      <alignment vertical="center" wrapText="1"/>
    </xf>
    <xf numFmtId="0" fontId="0" fillId="0" borderId="0" xfId="0" applyAlignment="1">
      <alignment horizontal="left" vertical="center"/>
    </xf>
    <xf numFmtId="3" fontId="0" fillId="0" borderId="0" xfId="0" applyNumberFormat="1" applyAlignment="1">
      <alignment horizontal="left" vertical="center"/>
    </xf>
    <xf numFmtId="165" fontId="3" fillId="0" borderId="0" xfId="0" applyNumberFormat="1" applyFont="1"/>
  </cellXfs>
  <cellStyles count="1">
    <cellStyle name="Normal" xfId="0" builtinId="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GB" sz="1050" b="1">
                <a:latin typeface="Segoe UI" panose="020B0502040204020203" pitchFamily="34" charset="0"/>
                <a:cs typeface="Segoe UI" panose="020B0502040204020203" pitchFamily="34" charset="0"/>
              </a:rPr>
              <a:t>Forecast Lift vs. Net ROI</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lotArea>
      <c:layout/>
      <c:barChart>
        <c:barDir val="col"/>
        <c:grouping val="clustered"/>
        <c:varyColors val="0"/>
        <c:ser>
          <c:idx val="0"/>
          <c:order val="0"/>
          <c:tx>
            <c:strRef>
              <c:f>'LP-Scenario2-QualPipe-Scenarios'!$B$52</c:f>
              <c:strCache>
                <c:ptCount val="1"/>
                <c:pt idx="0">
                  <c:v>Total Forecast Lift</c:v>
                </c:pt>
              </c:strCache>
            </c:strRef>
          </c:tx>
          <c:spPr>
            <a:solidFill>
              <a:schemeClr val="accent1"/>
            </a:solidFill>
            <a:ln>
              <a:noFill/>
            </a:ln>
            <a:effectLst/>
          </c:spPr>
          <c:invertIfNegative val="0"/>
          <c:dLbls>
            <c:dLbl>
              <c:idx val="0"/>
              <c:tx>
                <c:rich>
                  <a:bodyPr/>
                  <a:lstStyle/>
                  <a:p>
                    <a:fld id="{E7893E87-5273-4AA9-9FE1-BF0CC0642054}"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59B-4485-ACF7-10C467A6A922}"/>
                </c:ext>
              </c:extLst>
            </c:dLbl>
            <c:dLbl>
              <c:idx val="1"/>
              <c:tx>
                <c:rich>
                  <a:bodyPr/>
                  <a:lstStyle/>
                  <a:p>
                    <a:fld id="{B28C6613-2BA1-45B8-9DD9-647BE8947837}"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959B-4485-ACF7-10C467A6A922}"/>
                </c:ext>
              </c:extLst>
            </c:dLbl>
            <c:dLbl>
              <c:idx val="2"/>
              <c:tx>
                <c:rich>
                  <a:bodyPr/>
                  <a:lstStyle/>
                  <a:p>
                    <a:fld id="{ECAD1C57-1257-451B-B5C3-5AD8FF8789B1}"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59B-4485-ACF7-10C467A6A922}"/>
                </c:ext>
              </c:extLst>
            </c:dLbl>
            <c:dLbl>
              <c:idx val="3"/>
              <c:tx>
                <c:rich>
                  <a:bodyPr/>
                  <a:lstStyle/>
                  <a:p>
                    <a:fld id="{10555B2E-59AA-407D-9474-9C89468B519D}"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959B-4485-ACF7-10C467A6A922}"/>
                </c:ext>
              </c:extLst>
            </c:dLbl>
            <c:dLbl>
              <c:idx val="4"/>
              <c:tx>
                <c:rich>
                  <a:bodyPr/>
                  <a:lstStyle/>
                  <a:p>
                    <a:fld id="{1094A6D5-B27A-4184-8955-866DD52E7B2E}"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959B-4485-ACF7-10C467A6A922}"/>
                </c:ext>
              </c:extLst>
            </c:dLbl>
            <c:dLbl>
              <c:idx val="5"/>
              <c:tx>
                <c:rich>
                  <a:bodyPr/>
                  <a:lstStyle/>
                  <a:p>
                    <a:fld id="{C54E7BCE-AFBD-4E4B-ABD3-8E127828D01B}"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959B-4485-ACF7-10C467A6A922}"/>
                </c:ext>
              </c:extLst>
            </c:dLbl>
            <c:dLbl>
              <c:idx val="6"/>
              <c:tx>
                <c:rich>
                  <a:bodyPr/>
                  <a:lstStyle/>
                  <a:p>
                    <a:fld id="{BC0D66C3-DCAE-4357-A7F5-81B4B7EAFA17}"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959B-4485-ACF7-10C467A6A922}"/>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'LP-Scenario2-QualPipe-Scenarios'!$A$53:$A$59</c:f>
              <c:strCache>
                <c:ptCount val="7"/>
                <c:pt idx="0">
                  <c:v>S2A - 1M</c:v>
                </c:pt>
                <c:pt idx="1">
                  <c:v>S2B - 2M</c:v>
                </c:pt>
                <c:pt idx="2">
                  <c:v>S2C - 3M</c:v>
                </c:pt>
                <c:pt idx="3">
                  <c:v>S2D - 4M</c:v>
                </c:pt>
                <c:pt idx="4">
                  <c:v>S2E - 5M</c:v>
                </c:pt>
                <c:pt idx="5">
                  <c:v>S2F - 6M</c:v>
                </c:pt>
                <c:pt idx="6">
                  <c:v>S2G - 7M</c:v>
                </c:pt>
              </c:strCache>
            </c:strRef>
          </c:cat>
          <c:val>
            <c:numRef>
              <c:f>'LP-Scenario2-QualPipe-Scenarios'!$B$53:$B$59</c:f>
              <c:numCache>
                <c:formatCode>#,##0</c:formatCode>
                <c:ptCount val="7"/>
                <c:pt idx="0">
                  <c:v>2080000</c:v>
                </c:pt>
                <c:pt idx="1">
                  <c:v>4160000</c:v>
                </c:pt>
                <c:pt idx="2">
                  <c:v>6168038.4999999991</c:v>
                </c:pt>
                <c:pt idx="3">
                  <c:v>8070288.5</c:v>
                </c:pt>
                <c:pt idx="4">
                  <c:v>9953149.4924242422</c:v>
                </c:pt>
                <c:pt idx="5">
                  <c:v>11709367.20923521</c:v>
                </c:pt>
                <c:pt idx="6">
                  <c:v>11893944</c:v>
                </c:pt>
              </c:numCache>
            </c:numRef>
          </c:val>
          <c:extLst>
            <c:ext xmlns:c15="http://schemas.microsoft.com/office/drawing/2012/chart" uri="{02D57815-91ED-43cb-92C2-25804820EDAC}">
              <c15:datalabelsRange>
                <c15:f>'LP-Scenario2-QualPipe-Scenarios'!$G$53:$G$59</c15:f>
                <c15:dlblRangeCache>
                  <c:ptCount val="7"/>
                  <c:pt idx="0">
                    <c:v>2.08M</c:v>
                  </c:pt>
                  <c:pt idx="1">
                    <c:v>4.16M</c:v>
                  </c:pt>
                  <c:pt idx="2">
                    <c:v>6.17M</c:v>
                  </c:pt>
                  <c:pt idx="3">
                    <c:v>8.07M</c:v>
                  </c:pt>
                  <c:pt idx="4">
                    <c:v>9.95M</c:v>
                  </c:pt>
                  <c:pt idx="5">
                    <c:v>11.71M</c:v>
                  </c:pt>
                  <c:pt idx="6">
                    <c:v>11.89M</c:v>
                  </c:pt>
                </c15:dlblRangeCache>
              </c15:datalabelsRange>
            </c:ext>
            <c:ext xmlns:c16="http://schemas.microsoft.com/office/drawing/2014/chart" uri="{C3380CC4-5D6E-409C-BE32-E72D297353CC}">
              <c16:uniqueId val="{00000000-959B-4485-ACF7-10C467A6A922}"/>
            </c:ext>
          </c:extLst>
        </c:ser>
        <c:dLbls>
          <c:dLblPos val="outEnd"/>
          <c:showLegendKey val="0"/>
          <c:showVal val="1"/>
          <c:showCatName val="0"/>
          <c:showSerName val="0"/>
          <c:showPercent val="0"/>
          <c:showBubbleSize val="0"/>
        </c:dLbls>
        <c:gapWidth val="219"/>
        <c:overlap val="-27"/>
        <c:axId val="1181183616"/>
        <c:axId val="1181200896"/>
      </c:barChart>
      <c:lineChart>
        <c:grouping val="standard"/>
        <c:varyColors val="0"/>
        <c:ser>
          <c:idx val="1"/>
          <c:order val="1"/>
          <c:tx>
            <c:strRef>
              <c:f>'LP-Scenario2-QualPipe-Scenarios'!$E$52</c:f>
              <c:strCache>
                <c:ptCount val="1"/>
                <c:pt idx="0">
                  <c:v>Marginal ROI</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'LP-Scenario2-QualPipe-Scenarios'!$A$53:$A$59</c:f>
              <c:strCache>
                <c:ptCount val="7"/>
                <c:pt idx="0">
                  <c:v>S2A - 1M</c:v>
                </c:pt>
                <c:pt idx="1">
                  <c:v>S2B - 2M</c:v>
                </c:pt>
                <c:pt idx="2">
                  <c:v>S2C - 3M</c:v>
                </c:pt>
                <c:pt idx="3">
                  <c:v>S2D - 4M</c:v>
                </c:pt>
                <c:pt idx="4">
                  <c:v>S2E - 5M</c:v>
                </c:pt>
                <c:pt idx="5">
                  <c:v>S2F - 6M</c:v>
                </c:pt>
                <c:pt idx="6">
                  <c:v>S2G - 7M</c:v>
                </c:pt>
              </c:strCache>
            </c:strRef>
          </c:cat>
          <c:val>
            <c:numRef>
              <c:f>'LP-Scenario2-QualPipe-Scenarios'!$E$53:$E$59</c:f>
              <c:numCache>
                <c:formatCode>0.00</c:formatCode>
                <c:ptCount val="7"/>
                <c:pt idx="0">
                  <c:v>2.08</c:v>
                </c:pt>
                <c:pt idx="1">
                  <c:v>2.08</c:v>
                </c:pt>
                <c:pt idx="2">
                  <c:v>2.056012833333333</c:v>
                </c:pt>
                <c:pt idx="3">
                  <c:v>2.017572125</c:v>
                </c:pt>
                <c:pt idx="4">
                  <c:v>1.9906298984848485</c:v>
                </c:pt>
                <c:pt idx="5">
                  <c:v>1.9515612015392017</c:v>
                </c:pt>
                <c:pt idx="6">
                  <c:v>1.6991348571428571</c:v>
                </c:pt>
              </c:numCache>
            </c:numRef>
          </c:val>
          <c:smooth val="0"/>
          <c:extLst>
            <c:ext xmlns:c16="http://schemas.microsoft.com/office/drawing/2014/chart" uri="{C3380CC4-5D6E-409C-BE32-E72D297353CC}">
              <c16:uniqueId val="{00000001-959B-4485-ACF7-10C467A6A922}"/>
            </c:ext>
          </c:extLst>
        </c:ser>
        <c:dLbls>
          <c:showLegendKey val="0"/>
          <c:showVal val="1"/>
          <c:showCatName val="0"/>
          <c:showSerName val="0"/>
          <c:showPercent val="0"/>
          <c:showBubbleSize val="0"/>
        </c:dLbls>
        <c:marker val="1"/>
        <c:smooth val="0"/>
        <c:axId val="1181187936"/>
        <c:axId val="1181202816"/>
      </c:lineChart>
      <c:catAx>
        <c:axId val="118118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181200896"/>
        <c:crosses val="autoZero"/>
        <c:auto val="1"/>
        <c:lblAlgn val="ctr"/>
        <c:lblOffset val="100"/>
        <c:noMultiLvlLbl val="0"/>
      </c:catAx>
      <c:valAx>
        <c:axId val="11812008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181183616"/>
        <c:crosses val="autoZero"/>
        <c:crossBetween val="between"/>
      </c:valAx>
      <c:valAx>
        <c:axId val="1181202816"/>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181187936"/>
        <c:crosses val="max"/>
        <c:crossBetween val="between"/>
      </c:valAx>
      <c:catAx>
        <c:axId val="1181187936"/>
        <c:scaling>
          <c:orientation val="minMax"/>
        </c:scaling>
        <c:delete val="1"/>
        <c:axPos val="b"/>
        <c:numFmt formatCode="General" sourceLinked="1"/>
        <c:majorTickMark val="out"/>
        <c:minorTickMark val="none"/>
        <c:tickLblPos val="nextTo"/>
        <c:crossAx val="11812028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Incremental</a:t>
            </a:r>
            <a:r>
              <a:rPr lang="en-GB" baseline="0"/>
              <a:t> Lift &amp; Marginal ROI</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'LP-Scenario3'!$C$41</c:f>
              <c:strCache>
                <c:ptCount val="1"/>
                <c:pt idx="0">
                  <c:v>Incremental Lift</c:v>
                </c:pt>
              </c:strCache>
            </c:strRef>
          </c:tx>
          <c:spPr>
            <a:solidFill>
              <a:schemeClr val="accent1"/>
            </a:solidFill>
            <a:ln>
              <a:noFill/>
            </a:ln>
            <a:effectLst/>
          </c:spPr>
          <c:invertIfNegative val="0"/>
          <c:val>
            <c:numRef>
              <c:f>'LP-Scenario3'!$C$42:$C$49</c:f>
              <c:numCache>
                <c:formatCode>#,##0</c:formatCode>
                <c:ptCount val="8"/>
                <c:pt idx="0">
                  <c:v>1400000</c:v>
                </c:pt>
                <c:pt idx="1">
                  <c:v>1400000</c:v>
                </c:pt>
                <c:pt idx="2">
                  <c:v>1400000</c:v>
                </c:pt>
                <c:pt idx="3">
                  <c:v>1379747.2857142854</c:v>
                </c:pt>
                <c:pt idx="4">
                  <c:v>1300000</c:v>
                </c:pt>
                <c:pt idx="5">
                  <c:v>1300000</c:v>
                </c:pt>
                <c:pt idx="6">
                  <c:v>1230781.5164835155</c:v>
                </c:pt>
                <c:pt idx="7">
                  <c:v>434793.19780219719</c:v>
                </c:pt>
              </c:numCache>
            </c:numRef>
          </c:val>
          <c:extLst>
            <c:ext xmlns:c16="http://schemas.microsoft.com/office/drawing/2014/chart" uri="{C3380CC4-5D6E-409C-BE32-E72D297353CC}">
              <c16:uniqueId val="{00000000-AB95-480D-99DA-F5F2E4329FB0}"/>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'LP-Scenario3'!$D$41</c:f>
              <c:strCache>
                <c:ptCount val="1"/>
                <c:pt idx="0">
                  <c:v>Marginal ROI</c:v>
                </c:pt>
              </c:strCache>
            </c:strRef>
          </c:tx>
          <c:spPr>
            <a:ln w="28575" cap="rnd">
              <a:solidFill>
                <a:schemeClr val="accent2"/>
              </a:solidFill>
              <a:round/>
            </a:ln>
            <a:effectLst/>
          </c:spPr>
          <c:marker>
            <c:symbol val="none"/>
          </c:marker>
          <c:val>
            <c:numRef>
              <c:f>'LP-Scenario3'!$D$42:$D$49</c:f>
              <c:numCache>
                <c:formatCode>0.00</c:formatCode>
                <c:ptCount val="8"/>
                <c:pt idx="0">
                  <c:v>1.4</c:v>
                </c:pt>
                <c:pt idx="1">
                  <c:v>1.4</c:v>
                </c:pt>
                <c:pt idx="2">
                  <c:v>1.4</c:v>
                </c:pt>
                <c:pt idx="3">
                  <c:v>1.3949368214285713</c:v>
                </c:pt>
                <c:pt idx="4">
                  <c:v>1.375949457142857</c:v>
                </c:pt>
                <c:pt idx="5">
                  <c:v>1.3632912142857143</c:v>
                </c:pt>
                <c:pt idx="6">
                  <c:v>1.3443612574568287</c:v>
                </c:pt>
                <c:pt idx="7">
                  <c:v>1.2306652499999997</c:v>
                </c:pt>
              </c:numCache>
            </c:numRef>
          </c:val>
          <c:smooth val="0"/>
          <c:extLst>
            <c:ext xmlns:c16="http://schemas.microsoft.com/office/drawing/2014/chart" uri="{C3380CC4-5D6E-409C-BE32-E72D297353CC}">
              <c16:uniqueId val="{00000001-AB95-480D-99DA-F5F2E4329FB0}"/>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Incremental</a:t>
            </a:r>
            <a:r>
              <a:rPr lang="en-GB" baseline="0"/>
              <a:t> Lift &amp; Marginal ROI</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'LP-Scenario4'!$C$41</c:f>
              <c:strCache>
                <c:ptCount val="1"/>
                <c:pt idx="0">
                  <c:v>Incremental Lift</c:v>
                </c:pt>
              </c:strCache>
            </c:strRef>
          </c:tx>
          <c:spPr>
            <a:solidFill>
              <a:schemeClr val="accent1"/>
            </a:solidFill>
            <a:ln>
              <a:noFill/>
            </a:ln>
            <a:effectLst/>
          </c:spPr>
          <c:invertIfNegative val="0"/>
          <c:val>
            <c:numRef>
              <c:f>'LP-Scenario4'!$C$42:$C$46</c:f>
              <c:numCache>
                <c:formatCode>#,##0</c:formatCode>
                <c:ptCount val="5"/>
                <c:pt idx="0">
                  <c:v>2400000</c:v>
                </c:pt>
                <c:pt idx="1">
                  <c:v>2400000</c:v>
                </c:pt>
                <c:pt idx="2">
                  <c:v>2243038.5</c:v>
                </c:pt>
                <c:pt idx="3">
                  <c:v>2139715.3181818184</c:v>
                </c:pt>
                <c:pt idx="4">
                  <c:v>662568.18181818165</c:v>
                </c:pt>
              </c:numCache>
            </c:numRef>
          </c:val>
          <c:extLst>
            <c:ext xmlns:c16="http://schemas.microsoft.com/office/drawing/2014/chart" uri="{C3380CC4-5D6E-409C-BE32-E72D297353CC}">
              <c16:uniqueId val="{00000000-AC33-4F8C-99B0-D2CF7D23F2A3}"/>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'LP-Scenario4'!$E$41</c:f>
              <c:strCache>
                <c:ptCount val="1"/>
                <c:pt idx="0">
                  <c:v>Marginal ROI</c:v>
                </c:pt>
              </c:strCache>
            </c:strRef>
          </c:tx>
          <c:spPr>
            <a:ln w="28575" cap="rnd">
              <a:solidFill>
                <a:schemeClr val="accent2"/>
              </a:solidFill>
              <a:round/>
            </a:ln>
            <a:effectLst/>
          </c:spPr>
          <c:marker>
            <c:symbol val="none"/>
          </c:marker>
          <c:val>
            <c:numRef>
              <c:f>'LP-Scenario4'!$E$42:$E$46</c:f>
              <c:numCache>
                <c:formatCode>0.00</c:formatCode>
                <c:ptCount val="5"/>
                <c:pt idx="0">
                  <c:v>2.4</c:v>
                </c:pt>
                <c:pt idx="1">
                  <c:v>2.4</c:v>
                </c:pt>
                <c:pt idx="2">
                  <c:v>2.3476794999999999</c:v>
                </c:pt>
                <c:pt idx="3">
                  <c:v>1.8365507636363636</c:v>
                </c:pt>
                <c:pt idx="4">
                  <c:v>1.640887</c:v>
                </c:pt>
              </c:numCache>
            </c:numRef>
          </c:val>
          <c:smooth val="0"/>
          <c:extLst>
            <c:ext xmlns:c16="http://schemas.microsoft.com/office/drawing/2014/chart" uri="{C3380CC4-5D6E-409C-BE32-E72D297353CC}">
              <c16:uniqueId val="{00000001-AC33-4F8C-99B0-D2CF7D23F2A3}"/>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GB" sz="1050" b="1"/>
              <a:t>Incremental Lift &amp; Marginal ROI</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GB"/>
        </a:p>
      </c:txPr>
    </c:title>
    <c:autoTitleDeleted val="0"/>
    <c:plotArea>
      <c:layout/>
      <c:barChart>
        <c:barDir val="col"/>
        <c:grouping val="clustered"/>
        <c:varyColors val="0"/>
        <c:ser>
          <c:idx val="0"/>
          <c:order val="0"/>
          <c:tx>
            <c:strRef>
              <c:f>'LP-Scenario5'!$C$41</c:f>
              <c:strCache>
                <c:ptCount val="1"/>
                <c:pt idx="0">
                  <c:v>Incremental Lift</c:v>
                </c:pt>
              </c:strCache>
            </c:strRef>
          </c:tx>
          <c:spPr>
            <a:solidFill>
              <a:schemeClr val="accent1"/>
            </a:solidFill>
            <a:ln>
              <a:noFill/>
            </a:ln>
            <a:effectLst/>
          </c:spPr>
          <c:invertIfNegative val="0"/>
          <c:val>
            <c:numRef>
              <c:f>'LP-Scenario5'!$C$42:$C$46</c:f>
              <c:numCache>
                <c:formatCode>#,##0</c:formatCode>
                <c:ptCount val="5"/>
                <c:pt idx="0">
                  <c:v>2400000</c:v>
                </c:pt>
                <c:pt idx="1">
                  <c:v>2400000</c:v>
                </c:pt>
                <c:pt idx="2">
                  <c:v>2243038.5</c:v>
                </c:pt>
                <c:pt idx="3">
                  <c:v>2139715.3181818184</c:v>
                </c:pt>
                <c:pt idx="4">
                  <c:v>662568.18181818165</c:v>
                </c:pt>
              </c:numCache>
            </c:numRef>
          </c:val>
          <c:extLst>
            <c:ext xmlns:c16="http://schemas.microsoft.com/office/drawing/2014/chart" uri="{C3380CC4-5D6E-409C-BE32-E72D297353CC}">
              <c16:uniqueId val="{00000000-F814-45BD-B136-F8A3F7E09D7E}"/>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'LP-Scenario5'!$E$41</c:f>
              <c:strCache>
                <c:ptCount val="1"/>
                <c:pt idx="0">
                  <c:v>Marginal ROI</c:v>
                </c:pt>
              </c:strCache>
            </c:strRef>
          </c:tx>
          <c:spPr>
            <a:ln w="28575" cap="rnd">
              <a:solidFill>
                <a:schemeClr val="accent2"/>
              </a:solidFill>
              <a:round/>
            </a:ln>
            <a:effectLst/>
          </c:spPr>
          <c:marker>
            <c:symbol val="none"/>
          </c:marker>
          <c:val>
            <c:numRef>
              <c:f>'LP-Scenario5'!$E$42:$E$46</c:f>
              <c:numCache>
                <c:formatCode>0.00</c:formatCode>
                <c:ptCount val="5"/>
                <c:pt idx="0">
                  <c:v>2.4</c:v>
                </c:pt>
                <c:pt idx="1">
                  <c:v>2.4</c:v>
                </c:pt>
                <c:pt idx="2">
                  <c:v>2.3476794999999999</c:v>
                </c:pt>
                <c:pt idx="3">
                  <c:v>1.8365507636363636</c:v>
                </c:pt>
                <c:pt idx="4">
                  <c:v>1.640887</c:v>
                </c:pt>
              </c:numCache>
            </c:numRef>
          </c:val>
          <c:smooth val="0"/>
          <c:extLst>
            <c:ext xmlns:c16="http://schemas.microsoft.com/office/drawing/2014/chart" uri="{C3380CC4-5D6E-409C-BE32-E72D297353CC}">
              <c16:uniqueId val="{00000001-F814-45BD-B136-F8A3F7E09D7E}"/>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GB" sz="1050" b="1"/>
              <a:t>Incremental Lift &amp; Marginal ROI</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GB"/>
        </a:p>
      </c:txPr>
    </c:title>
    <c:autoTitleDeleted val="0"/>
    <c:plotArea>
      <c:layout/>
      <c:barChart>
        <c:barDir val="col"/>
        <c:grouping val="clustered"/>
        <c:varyColors val="0"/>
        <c:ser>
          <c:idx val="0"/>
          <c:order val="0"/>
          <c:tx>
            <c:strRef>
              <c:f>'LP-Scenario6'!$C$41</c:f>
              <c:strCache>
                <c:ptCount val="1"/>
                <c:pt idx="0">
                  <c:v>Incremental Lift</c:v>
                </c:pt>
              </c:strCache>
            </c:strRef>
          </c:tx>
          <c:spPr>
            <a:solidFill>
              <a:schemeClr val="accent1"/>
            </a:solidFill>
            <a:ln>
              <a:noFill/>
            </a:ln>
            <a:effectLst/>
          </c:spPr>
          <c:invertIfNegative val="0"/>
          <c:val>
            <c:numRef>
              <c:f>'LP-Scenario6'!$C$42:$C$46</c:f>
              <c:numCache>
                <c:formatCode>#,##0</c:formatCode>
                <c:ptCount val="5"/>
                <c:pt idx="0">
                  <c:v>2000000</c:v>
                </c:pt>
                <c:pt idx="1">
                  <c:v>2000000</c:v>
                </c:pt>
                <c:pt idx="2">
                  <c:v>1897469.2999999998</c:v>
                </c:pt>
                <c:pt idx="3">
                  <c:v>1700000</c:v>
                </c:pt>
                <c:pt idx="4">
                  <c:v>1615580.905882352</c:v>
                </c:pt>
              </c:numCache>
            </c:numRef>
          </c:val>
          <c:extLst>
            <c:ext xmlns:c16="http://schemas.microsoft.com/office/drawing/2014/chart" uri="{C3380CC4-5D6E-409C-BE32-E72D297353CC}">
              <c16:uniqueId val="{00000000-B6A7-4A1A-AF0F-5F6F6CE1DD37}"/>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'LP-Scenario6'!$E$41</c:f>
              <c:strCache>
                <c:ptCount val="1"/>
                <c:pt idx="0">
                  <c:v>Marginal ROI</c:v>
                </c:pt>
              </c:strCache>
            </c:strRef>
          </c:tx>
          <c:spPr>
            <a:ln w="28575" cap="rnd">
              <a:solidFill>
                <a:schemeClr val="accent2"/>
              </a:solidFill>
              <a:round/>
            </a:ln>
            <a:effectLst/>
          </c:spPr>
          <c:marker>
            <c:symbol val="none"/>
          </c:marker>
          <c:val>
            <c:numRef>
              <c:f>'LP-Scenario6'!$E$42:$E$46</c:f>
              <c:numCache>
                <c:formatCode>0.00</c:formatCode>
                <c:ptCount val="5"/>
                <c:pt idx="0">
                  <c:v>2</c:v>
                </c:pt>
                <c:pt idx="1">
                  <c:v>2</c:v>
                </c:pt>
                <c:pt idx="2">
                  <c:v>1.9658230999999999</c:v>
                </c:pt>
                <c:pt idx="3">
                  <c:v>1.5194938599999999</c:v>
                </c:pt>
                <c:pt idx="4">
                  <c:v>1.5355083676470587</c:v>
                </c:pt>
              </c:numCache>
            </c:numRef>
          </c:val>
          <c:smooth val="0"/>
          <c:extLst>
            <c:ext xmlns:c16="http://schemas.microsoft.com/office/drawing/2014/chart" uri="{C3380CC4-5D6E-409C-BE32-E72D297353CC}">
              <c16:uniqueId val="{00000001-B6A7-4A1A-AF0F-5F6F6CE1DD37}"/>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65484</xdr:colOff>
      <xdr:row>62</xdr:row>
      <xdr:rowOff>3572</xdr:rowOff>
    </xdr:from>
    <xdr:to>
      <xdr:col>4</xdr:col>
      <xdr:colOff>392905</xdr:colOff>
      <xdr:row>76</xdr:row>
      <xdr:rowOff>142875</xdr:rowOff>
    </xdr:to>
    <xdr:graphicFrame macro="">
      <xdr:nvGraphicFramePr>
        <xdr:cNvPr id="2" name="Chart 1">
          <a:extLst>
            <a:ext uri="{FF2B5EF4-FFF2-40B4-BE49-F238E27FC236}">
              <a16:creationId xmlns:a16="http://schemas.microsoft.com/office/drawing/2014/main" id="{F72127B3-B165-CA8E-1D0C-E31BD90FB1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3</xdr:col>
      <xdr:colOff>452437</xdr:colOff>
      <xdr:row>65</xdr:row>
      <xdr:rowOff>190500</xdr:rowOff>
    </xdr:to>
    <xdr:graphicFrame macro="">
      <xdr:nvGraphicFramePr>
        <xdr:cNvPr id="3" name="Chart 2">
          <a:extLst>
            <a:ext uri="{FF2B5EF4-FFF2-40B4-BE49-F238E27FC236}">
              <a16:creationId xmlns:a16="http://schemas.microsoft.com/office/drawing/2014/main" id="{A7BD4CEB-2579-9A0F-807E-3622EC5E1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3</xdr:col>
      <xdr:colOff>452437</xdr:colOff>
      <xdr:row>65</xdr:row>
      <xdr:rowOff>190500</xdr:rowOff>
    </xdr:to>
    <xdr:graphicFrame macro="">
      <xdr:nvGraphicFramePr>
        <xdr:cNvPr id="2" name="Chart 1">
          <a:extLst>
            <a:ext uri="{FF2B5EF4-FFF2-40B4-BE49-F238E27FC236}">
              <a16:creationId xmlns:a16="http://schemas.microsoft.com/office/drawing/2014/main" id="{184AB9CA-FF11-4FA7-87C1-129E1B4E42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2</xdr:col>
      <xdr:colOff>1309687</xdr:colOff>
      <xdr:row>62</xdr:row>
      <xdr:rowOff>23813</xdr:rowOff>
    </xdr:to>
    <xdr:graphicFrame macro="">
      <xdr:nvGraphicFramePr>
        <xdr:cNvPr id="2" name="Chart 1">
          <a:extLst>
            <a:ext uri="{FF2B5EF4-FFF2-40B4-BE49-F238E27FC236}">
              <a16:creationId xmlns:a16="http://schemas.microsoft.com/office/drawing/2014/main" id="{07E12220-E186-4D27-8844-E62DB7851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2</xdr:col>
      <xdr:colOff>1309687</xdr:colOff>
      <xdr:row>62</xdr:row>
      <xdr:rowOff>23813</xdr:rowOff>
    </xdr:to>
    <xdr:graphicFrame macro="">
      <xdr:nvGraphicFramePr>
        <xdr:cNvPr id="2" name="Chart 1">
          <a:extLst>
            <a:ext uri="{FF2B5EF4-FFF2-40B4-BE49-F238E27FC236}">
              <a16:creationId xmlns:a16="http://schemas.microsoft.com/office/drawing/2014/main" id="{1BEA7EED-2119-4AF7-8725-2D16BECE78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C44BE-E133-4B01-ABA9-6B2E66D8F38E}">
  <sheetPr>
    <tabColor theme="1" tint="0.499984740745262"/>
  </sheetPr>
  <dimension ref="A1:E41"/>
  <sheetViews>
    <sheetView topLeftCell="A3" zoomScale="80" zoomScaleNormal="80" workbookViewId="0">
      <selection activeCell="D10" sqref="D10"/>
    </sheetView>
  </sheetViews>
  <sheetFormatPr defaultRowHeight="16.5" x14ac:dyDescent="0.3"/>
  <cols>
    <col min="1" max="1" width="43.7109375" style="2" customWidth="1"/>
    <col min="2" max="2" width="18" style="2" customWidth="1"/>
    <col min="3" max="4" width="20" style="2" customWidth="1"/>
    <col min="5" max="5" width="22" style="2" customWidth="1"/>
    <col min="6" max="16384" width="9.140625" style="2"/>
  </cols>
  <sheetData>
    <row r="1" spans="1:5" ht="25.5" x14ac:dyDescent="0.5">
      <c r="A1" s="1" t="s">
        <v>0</v>
      </c>
    </row>
    <row r="3" spans="1:5" ht="342" x14ac:dyDescent="0.3">
      <c r="A3" s="3" t="s">
        <v>33</v>
      </c>
    </row>
    <row r="5" spans="1:5" x14ac:dyDescent="0.3">
      <c r="A5" s="4" t="s">
        <v>1</v>
      </c>
      <c r="B5" s="5"/>
      <c r="C5" s="5"/>
      <c r="D5" s="5"/>
      <c r="E5" s="5"/>
    </row>
    <row r="6" spans="1:5" x14ac:dyDescent="0.3">
      <c r="A6" s="6" t="s">
        <v>2</v>
      </c>
      <c r="B6" s="6" t="s">
        <v>3</v>
      </c>
      <c r="C6" s="6" t="s">
        <v>4</v>
      </c>
      <c r="D6" s="6" t="s">
        <v>5</v>
      </c>
      <c r="E6" s="6" t="s">
        <v>6</v>
      </c>
    </row>
    <row r="7" spans="1:5" x14ac:dyDescent="0.3">
      <c r="A7" s="7" t="s">
        <v>7</v>
      </c>
      <c r="B7" s="9">
        <v>2</v>
      </c>
      <c r="C7" s="9">
        <v>2.4</v>
      </c>
      <c r="D7" s="9">
        <v>1.4</v>
      </c>
      <c r="E7" s="10">
        <v>5316462</v>
      </c>
    </row>
    <row r="8" spans="1:5" x14ac:dyDescent="0.3">
      <c r="A8" s="7" t="s">
        <v>8</v>
      </c>
      <c r="B8" s="9">
        <v>1.7</v>
      </c>
      <c r="C8" s="9">
        <v>2.2000000000000002</v>
      </c>
      <c r="D8" s="9">
        <v>1.3</v>
      </c>
      <c r="E8" s="10">
        <v>3263445</v>
      </c>
    </row>
    <row r="9" spans="1:5" x14ac:dyDescent="0.3">
      <c r="A9" s="7" t="s">
        <v>9</v>
      </c>
      <c r="B9" s="9">
        <v>1.5</v>
      </c>
      <c r="C9" s="9">
        <v>2</v>
      </c>
      <c r="D9" s="9">
        <v>1.2</v>
      </c>
      <c r="E9" s="10">
        <v>1265415</v>
      </c>
    </row>
    <row r="10" spans="1:5" x14ac:dyDescent="0.3">
      <c r="A10" s="5"/>
      <c r="B10" s="5"/>
      <c r="C10" s="5"/>
      <c r="D10" s="5"/>
      <c r="E10" s="5"/>
    </row>
    <row r="11" spans="1:5" x14ac:dyDescent="0.3">
      <c r="A11" s="5"/>
      <c r="B11" s="5"/>
      <c r="C11" s="5"/>
      <c r="D11" s="5"/>
      <c r="E11" s="5"/>
    </row>
    <row r="12" spans="1:5" x14ac:dyDescent="0.3">
      <c r="A12" s="4" t="s">
        <v>10</v>
      </c>
      <c r="B12" s="5"/>
      <c r="C12" s="5"/>
      <c r="D12" s="5"/>
      <c r="E12" s="5"/>
    </row>
    <row r="13" spans="1:5" x14ac:dyDescent="0.3">
      <c r="A13" s="6" t="s">
        <v>2</v>
      </c>
      <c r="B13" s="6" t="s">
        <v>11</v>
      </c>
      <c r="C13" s="6" t="s">
        <v>12</v>
      </c>
      <c r="D13" s="6" t="s">
        <v>13</v>
      </c>
      <c r="E13" s="6" t="s">
        <v>14</v>
      </c>
    </row>
    <row r="14" spans="1:5" x14ac:dyDescent="0.3">
      <c r="A14" s="7" t="s">
        <v>7</v>
      </c>
      <c r="B14" s="10">
        <v>0</v>
      </c>
      <c r="C14" s="10">
        <v>0</v>
      </c>
      <c r="D14" s="10">
        <v>0</v>
      </c>
      <c r="E14" s="10">
        <f>SUM(B14:D14)</f>
        <v>0</v>
      </c>
    </row>
    <row r="15" spans="1:5" x14ac:dyDescent="0.3">
      <c r="A15" s="7" t="s">
        <v>8</v>
      </c>
      <c r="B15" s="10">
        <v>0</v>
      </c>
      <c r="C15" s="10">
        <v>0</v>
      </c>
      <c r="D15" s="10">
        <v>0</v>
      </c>
      <c r="E15" s="10">
        <f>SUM(B15:D15)</f>
        <v>0</v>
      </c>
    </row>
    <row r="16" spans="1:5" x14ac:dyDescent="0.3">
      <c r="A16" s="7" t="s">
        <v>9</v>
      </c>
      <c r="B16" s="10">
        <v>0</v>
      </c>
      <c r="C16" s="10">
        <v>0</v>
      </c>
      <c r="D16" s="10">
        <v>0</v>
      </c>
      <c r="E16" s="10">
        <f>SUM(B16:D16)</f>
        <v>0</v>
      </c>
    </row>
    <row r="17" spans="1:5" x14ac:dyDescent="0.3">
      <c r="A17" s="8" t="s">
        <v>15</v>
      </c>
      <c r="B17" s="11">
        <f>SUM(B14:B16)</f>
        <v>0</v>
      </c>
      <c r="C17" s="11">
        <f>SUM(C14:C16)</f>
        <v>0</v>
      </c>
      <c r="D17" s="11">
        <f>SUM(D14:D16)</f>
        <v>0</v>
      </c>
      <c r="E17" s="11">
        <f>SUM(E14:E16)</f>
        <v>0</v>
      </c>
    </row>
    <row r="18" spans="1:5" x14ac:dyDescent="0.3">
      <c r="A18" s="5"/>
      <c r="B18" s="5"/>
      <c r="C18" s="5"/>
      <c r="D18" s="5"/>
      <c r="E18" s="5"/>
    </row>
    <row r="19" spans="1:5" x14ac:dyDescent="0.3">
      <c r="A19" s="5"/>
      <c r="B19" s="5"/>
      <c r="C19" s="5"/>
      <c r="D19" s="5"/>
      <c r="E19" s="5"/>
    </row>
    <row r="20" spans="1:5" x14ac:dyDescent="0.3">
      <c r="A20" s="4" t="s">
        <v>16</v>
      </c>
      <c r="B20" s="5"/>
      <c r="C20" s="5"/>
      <c r="D20" s="5"/>
      <c r="E20" s="5"/>
    </row>
    <row r="21" spans="1:5" x14ac:dyDescent="0.3">
      <c r="A21" s="6" t="s">
        <v>2</v>
      </c>
      <c r="B21" s="6" t="s">
        <v>17</v>
      </c>
      <c r="C21" s="6" t="s">
        <v>18</v>
      </c>
      <c r="D21" s="6" t="s">
        <v>19</v>
      </c>
      <c r="E21" s="6" t="s">
        <v>20</v>
      </c>
    </row>
    <row r="22" spans="1:5" x14ac:dyDescent="0.3">
      <c r="A22" s="7" t="s">
        <v>7</v>
      </c>
      <c r="B22" s="10">
        <f t="shared" ref="B22:D24" si="0">B14*B7</f>
        <v>0</v>
      </c>
      <c r="C22" s="10">
        <f t="shared" si="0"/>
        <v>0</v>
      </c>
      <c r="D22" s="10">
        <f t="shared" si="0"/>
        <v>0</v>
      </c>
      <c r="E22" s="10">
        <f>SUM(B22:D22)</f>
        <v>0</v>
      </c>
    </row>
    <row r="23" spans="1:5" x14ac:dyDescent="0.3">
      <c r="A23" s="7" t="s">
        <v>8</v>
      </c>
      <c r="B23" s="10">
        <f t="shared" si="0"/>
        <v>0</v>
      </c>
      <c r="C23" s="10">
        <f t="shared" si="0"/>
        <v>0</v>
      </c>
      <c r="D23" s="10">
        <f t="shared" si="0"/>
        <v>0</v>
      </c>
      <c r="E23" s="10">
        <f>SUM(B23:D23)</f>
        <v>0</v>
      </c>
    </row>
    <row r="24" spans="1:5" x14ac:dyDescent="0.3">
      <c r="A24" s="7" t="s">
        <v>9</v>
      </c>
      <c r="B24" s="10">
        <f t="shared" si="0"/>
        <v>0</v>
      </c>
      <c r="C24" s="10">
        <f t="shared" si="0"/>
        <v>0</v>
      </c>
      <c r="D24" s="10">
        <f t="shared" si="0"/>
        <v>0</v>
      </c>
      <c r="E24" s="10">
        <f>SUM(B24:D24)</f>
        <v>0</v>
      </c>
    </row>
    <row r="25" spans="1:5" x14ac:dyDescent="0.3">
      <c r="A25" s="8" t="s">
        <v>21</v>
      </c>
      <c r="B25" s="11">
        <f>SUM(B22:B24)</f>
        <v>0</v>
      </c>
      <c r="C25" s="11">
        <f>SUM(C22:C24)</f>
        <v>0</v>
      </c>
      <c r="D25" s="11">
        <f>SUM(D22:D24)</f>
        <v>0</v>
      </c>
      <c r="E25" s="11">
        <f>SUM(E22:E24)</f>
        <v>0</v>
      </c>
    </row>
    <row r="26" spans="1:5" x14ac:dyDescent="0.3">
      <c r="A26" s="5"/>
      <c r="B26" s="5"/>
      <c r="C26" s="5"/>
      <c r="D26" s="5"/>
      <c r="E26" s="5"/>
    </row>
    <row r="27" spans="1:5" x14ac:dyDescent="0.3">
      <c r="A27" s="5"/>
      <c r="B27" s="5"/>
      <c r="C27" s="5"/>
      <c r="D27" s="5"/>
      <c r="E27" s="5"/>
    </row>
    <row r="28" spans="1:5" x14ac:dyDescent="0.3">
      <c r="A28" s="4" t="s">
        <v>22</v>
      </c>
      <c r="B28" s="5"/>
      <c r="C28" s="5"/>
      <c r="D28" s="5"/>
      <c r="E28" s="5"/>
    </row>
    <row r="29" spans="1:5" x14ac:dyDescent="0.3">
      <c r="A29" s="6" t="s">
        <v>23</v>
      </c>
      <c r="B29" s="6" t="s">
        <v>24</v>
      </c>
      <c r="C29" s="6" t="s">
        <v>25</v>
      </c>
      <c r="D29" s="5"/>
      <c r="E29" s="5"/>
    </row>
    <row r="30" spans="1:5" x14ac:dyDescent="0.3">
      <c r="A30" s="7" t="s">
        <v>26</v>
      </c>
      <c r="B30" s="10">
        <f>B17</f>
        <v>0</v>
      </c>
      <c r="C30" s="10">
        <v>1500000</v>
      </c>
      <c r="D30" s="5"/>
      <c r="E30" s="5"/>
    </row>
    <row r="31" spans="1:5" x14ac:dyDescent="0.3">
      <c r="A31" s="7" t="s">
        <v>27</v>
      </c>
      <c r="B31" s="10">
        <f>C17</f>
        <v>0</v>
      </c>
      <c r="C31" s="10">
        <v>1800000</v>
      </c>
      <c r="D31" s="5"/>
      <c r="E31" s="5"/>
    </row>
    <row r="32" spans="1:5" x14ac:dyDescent="0.3">
      <c r="A32" s="7" t="s">
        <v>28</v>
      </c>
      <c r="B32" s="10">
        <f>D17</f>
        <v>0</v>
      </c>
      <c r="C32" s="10">
        <v>700000</v>
      </c>
      <c r="D32" s="5"/>
      <c r="E32" s="5"/>
    </row>
    <row r="33" spans="1:5" x14ac:dyDescent="0.3">
      <c r="A33" s="7" t="s">
        <v>29</v>
      </c>
      <c r="B33" s="10">
        <f>E17</f>
        <v>0</v>
      </c>
      <c r="C33" s="10">
        <v>4000000</v>
      </c>
      <c r="D33" s="5"/>
      <c r="E33" s="5"/>
    </row>
    <row r="34" spans="1:5" x14ac:dyDescent="0.3">
      <c r="A34" s="7" t="s">
        <v>30</v>
      </c>
      <c r="B34" s="10">
        <f>E22</f>
        <v>0</v>
      </c>
      <c r="C34" s="10">
        <v>5316462</v>
      </c>
      <c r="D34" s="5"/>
      <c r="E34" s="5"/>
    </row>
    <row r="35" spans="1:5" x14ac:dyDescent="0.3">
      <c r="A35" s="7" t="s">
        <v>31</v>
      </c>
      <c r="B35" s="10">
        <f>E23</f>
        <v>0</v>
      </c>
      <c r="C35" s="10">
        <v>3263445</v>
      </c>
      <c r="D35" s="5"/>
      <c r="E35" s="5"/>
    </row>
    <row r="36" spans="1:5" x14ac:dyDescent="0.3">
      <c r="A36" s="7" t="s">
        <v>32</v>
      </c>
      <c r="B36" s="10">
        <f>E24</f>
        <v>0</v>
      </c>
      <c r="C36" s="10">
        <v>1265415</v>
      </c>
      <c r="D36" s="5"/>
      <c r="E36" s="5"/>
    </row>
    <row r="37" spans="1:5" x14ac:dyDescent="0.3">
      <c r="A37" s="5"/>
      <c r="B37" s="5"/>
      <c r="C37" s="5"/>
      <c r="D37" s="5"/>
      <c r="E37" s="5"/>
    </row>
    <row r="40" spans="1:5" x14ac:dyDescent="0.3">
      <c r="A40"/>
    </row>
    <row r="41" spans="1:5" x14ac:dyDescent="0.3">
      <c r="A41"/>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8F768-E728-4237-99BF-7107086508F0}">
  <sheetPr>
    <tabColor theme="6" tint="0.79998168889431442"/>
  </sheetPr>
  <dimension ref="A1:P68"/>
  <sheetViews>
    <sheetView topLeftCell="A3" zoomScale="80" zoomScaleNormal="80" workbookViewId="0">
      <selection activeCell="L7" sqref="L7"/>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6.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49</v>
      </c>
      <c r="L4" s="24" t="s">
        <v>50</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20" t="s">
        <v>34</v>
      </c>
      <c r="L6" s="20" t="s">
        <v>36</v>
      </c>
      <c r="M6" s="5"/>
    </row>
    <row r="7" spans="1:16" x14ac:dyDescent="0.3">
      <c r="A7" s="7" t="s">
        <v>7</v>
      </c>
      <c r="B7" s="9">
        <v>2</v>
      </c>
      <c r="C7" s="9">
        <v>2.4</v>
      </c>
      <c r="D7" s="9">
        <v>1.4</v>
      </c>
      <c r="E7" s="10">
        <v>5316462</v>
      </c>
      <c r="K7" s="20" t="s">
        <v>39</v>
      </c>
      <c r="L7" s="16" t="s">
        <v>40</v>
      </c>
      <c r="M7" s="5"/>
    </row>
    <row r="8" spans="1:16" x14ac:dyDescent="0.3">
      <c r="A8" s="7" t="s">
        <v>8</v>
      </c>
      <c r="B8" s="9">
        <v>1.7</v>
      </c>
      <c r="C8" s="9">
        <v>2.2000000000000002</v>
      </c>
      <c r="D8" s="9">
        <v>1.3</v>
      </c>
      <c r="E8" s="10">
        <v>3263445</v>
      </c>
      <c r="K8" s="20" t="s">
        <v>41</v>
      </c>
      <c r="L8" s="16" t="s">
        <v>42</v>
      </c>
      <c r="M8" s="5"/>
    </row>
    <row r="9" spans="1:16" x14ac:dyDescent="0.3">
      <c r="A9" s="7" t="s">
        <v>9</v>
      </c>
      <c r="B9" s="9">
        <v>1.5</v>
      </c>
      <c r="C9" s="9">
        <v>2</v>
      </c>
      <c r="D9" s="9">
        <v>1.2</v>
      </c>
      <c r="E9" s="10">
        <v>1265415</v>
      </c>
      <c r="K9" s="20" t="s">
        <v>43</v>
      </c>
      <c r="L9" s="23">
        <v>9845322</v>
      </c>
      <c r="M9" s="5"/>
    </row>
    <row r="10" spans="1:16" x14ac:dyDescent="0.3">
      <c r="A10" s="5"/>
      <c r="B10" s="5"/>
      <c r="C10" s="5"/>
      <c r="D10" s="29" t="s">
        <v>72</v>
      </c>
      <c r="E10" s="27">
        <f>SUM(E7:E9)</f>
        <v>9845322</v>
      </c>
      <c r="K10" s="20" t="s">
        <v>44</v>
      </c>
      <c r="L10" s="23">
        <v>4000000</v>
      </c>
      <c r="M10" s="5"/>
      <c r="N10" s="5"/>
      <c r="O10" s="5"/>
      <c r="P10" s="5"/>
    </row>
    <row r="11" spans="1:16" x14ac:dyDescent="0.3">
      <c r="A11" s="5"/>
      <c r="B11" s="5"/>
      <c r="C11" s="5"/>
      <c r="D11" s="5"/>
      <c r="E11" s="5"/>
      <c r="K11" s="20" t="s">
        <v>45</v>
      </c>
      <c r="L11" s="23">
        <v>8063039</v>
      </c>
      <c r="M11" s="5"/>
    </row>
    <row r="12" spans="1:16" x14ac:dyDescent="0.3">
      <c r="A12" s="4" t="s">
        <v>10</v>
      </c>
      <c r="B12" s="5"/>
      <c r="C12" s="5"/>
      <c r="D12" s="5"/>
      <c r="E12" s="5"/>
      <c r="K12" s="20" t="s">
        <v>46</v>
      </c>
      <c r="L12" s="23">
        <v>1782283</v>
      </c>
      <c r="M12" s="5"/>
    </row>
    <row r="13" spans="1:16" x14ac:dyDescent="0.3">
      <c r="A13" s="6" t="s">
        <v>2</v>
      </c>
      <c r="B13" s="6" t="s">
        <v>11</v>
      </c>
      <c r="C13" s="6" t="s">
        <v>12</v>
      </c>
      <c r="D13" s="6" t="s">
        <v>13</v>
      </c>
      <c r="E13" s="6" t="s">
        <v>14</v>
      </c>
      <c r="K13" s="20" t="s">
        <v>47</v>
      </c>
      <c r="L13" s="16" t="s">
        <v>48</v>
      </c>
      <c r="M13" s="5"/>
    </row>
    <row r="14" spans="1:16" x14ac:dyDescent="0.3">
      <c r="A14" s="7" t="s">
        <v>7</v>
      </c>
      <c r="B14" s="10">
        <v>1500000</v>
      </c>
      <c r="C14" s="10">
        <v>965192.49999999965</v>
      </c>
      <c r="D14" s="10">
        <v>0</v>
      </c>
      <c r="E14" s="10">
        <f>SUM(B14:D14)</f>
        <v>2465192.4999999995</v>
      </c>
      <c r="K14" s="13"/>
      <c r="L14" s="15"/>
      <c r="M14" s="15"/>
    </row>
    <row r="15" spans="1:16" x14ac:dyDescent="0.3">
      <c r="A15" s="7" t="s">
        <v>8</v>
      </c>
      <c r="B15" s="10">
        <v>0</v>
      </c>
      <c r="C15" s="10">
        <v>834807.50000000035</v>
      </c>
      <c r="D15" s="10">
        <v>700000</v>
      </c>
      <c r="E15" s="10">
        <f>SUM(B15:D15)</f>
        <v>1534807.5000000005</v>
      </c>
      <c r="K15" s="25" t="s">
        <v>51</v>
      </c>
      <c r="L15" s="5"/>
      <c r="M15" s="5"/>
      <c r="N15" s="5"/>
      <c r="O15" s="5"/>
    </row>
    <row r="16" spans="1:16" x14ac:dyDescent="0.3">
      <c r="A16" s="7" t="s">
        <v>9</v>
      </c>
      <c r="B16" s="10">
        <v>0</v>
      </c>
      <c r="C16" s="10">
        <v>0</v>
      </c>
      <c r="D16" s="10">
        <v>0</v>
      </c>
      <c r="E16" s="10">
        <f>SUM(B16:D16)</f>
        <v>0</v>
      </c>
      <c r="K16" s="18" t="s">
        <v>2</v>
      </c>
      <c r="L16" s="19" t="s">
        <v>11</v>
      </c>
      <c r="M16" s="19" t="s">
        <v>12</v>
      </c>
      <c r="N16" s="19" t="s">
        <v>13</v>
      </c>
      <c r="O16" s="19" t="s">
        <v>29</v>
      </c>
    </row>
    <row r="17" spans="1:15" x14ac:dyDescent="0.3">
      <c r="A17" s="8" t="s">
        <v>15</v>
      </c>
      <c r="B17" s="11">
        <f>SUM(B14:B16)</f>
        <v>1500000</v>
      </c>
      <c r="C17" s="11">
        <f>SUM(C14:C16)</f>
        <v>1800000</v>
      </c>
      <c r="D17" s="11">
        <f>SUM(D14:D16)</f>
        <v>700000</v>
      </c>
      <c r="E17" s="11">
        <f>SUM(E14:E16)</f>
        <v>4000000</v>
      </c>
      <c r="K17" s="16" t="s">
        <v>7</v>
      </c>
      <c r="L17" s="21">
        <v>1500000</v>
      </c>
      <c r="M17" s="21">
        <v>965193</v>
      </c>
      <c r="N17" s="22">
        <v>0</v>
      </c>
      <c r="O17" s="21">
        <v>2465193</v>
      </c>
    </row>
    <row r="18" spans="1:15" x14ac:dyDescent="0.3">
      <c r="A18" s="5"/>
      <c r="B18" s="5"/>
      <c r="C18" s="5"/>
      <c r="D18" s="5"/>
      <c r="E18" s="5"/>
      <c r="K18" s="16" t="s">
        <v>8</v>
      </c>
      <c r="L18" s="22">
        <v>0</v>
      </c>
      <c r="M18" s="21">
        <v>834808</v>
      </c>
      <c r="N18" s="21">
        <v>700000</v>
      </c>
      <c r="O18" s="21">
        <v>1534808</v>
      </c>
    </row>
    <row r="19" spans="1:15" x14ac:dyDescent="0.3">
      <c r="A19" s="5"/>
      <c r="B19" s="5"/>
      <c r="C19" s="5"/>
      <c r="D19" s="5"/>
      <c r="E19" s="5"/>
      <c r="K19" s="16" t="s">
        <v>9</v>
      </c>
      <c r="L19" s="22">
        <v>0</v>
      </c>
      <c r="M19" s="22">
        <v>0</v>
      </c>
      <c r="N19" s="22">
        <v>0</v>
      </c>
      <c r="O19" s="22">
        <v>0</v>
      </c>
    </row>
    <row r="20" spans="1:15" x14ac:dyDescent="0.3">
      <c r="A20" s="4" t="s">
        <v>16</v>
      </c>
      <c r="B20" s="5"/>
      <c r="C20" s="5"/>
      <c r="D20" s="5"/>
      <c r="E20" s="5"/>
      <c r="K20" s="16" t="s">
        <v>15</v>
      </c>
      <c r="L20" s="21">
        <v>1500000</v>
      </c>
      <c r="M20" s="21">
        <v>1800000</v>
      </c>
      <c r="N20" s="21">
        <v>700000</v>
      </c>
      <c r="O20" s="21">
        <v>4000000</v>
      </c>
    </row>
    <row r="21" spans="1:15" x14ac:dyDescent="0.3">
      <c r="A21" s="6" t="s">
        <v>2</v>
      </c>
      <c r="B21" s="6" t="s">
        <v>17</v>
      </c>
      <c r="C21" s="6" t="s">
        <v>18</v>
      </c>
      <c r="D21" s="6" t="s">
        <v>19</v>
      </c>
      <c r="E21" s="6" t="s">
        <v>20</v>
      </c>
    </row>
    <row r="22" spans="1:15" x14ac:dyDescent="0.3">
      <c r="A22" s="7" t="s">
        <v>7</v>
      </c>
      <c r="B22" s="10">
        <f t="shared" ref="B22:D24" si="0">B14*B7</f>
        <v>3000000</v>
      </c>
      <c r="C22" s="10">
        <f t="shared" si="0"/>
        <v>2316461.9999999991</v>
      </c>
      <c r="D22" s="10">
        <f t="shared" si="0"/>
        <v>0</v>
      </c>
      <c r="E22" s="10">
        <f>SUM(B22:D22)</f>
        <v>5316461.9999999991</v>
      </c>
      <c r="K22" s="5" t="s">
        <v>52</v>
      </c>
      <c r="L22" s="5"/>
      <c r="M22" s="5"/>
      <c r="N22" s="5"/>
      <c r="O22" s="5"/>
    </row>
    <row r="23" spans="1:15" x14ac:dyDescent="0.3">
      <c r="A23" s="7" t="s">
        <v>8</v>
      </c>
      <c r="B23" s="10">
        <f t="shared" si="0"/>
        <v>0</v>
      </c>
      <c r="C23" s="10">
        <f t="shared" si="0"/>
        <v>1836576.5000000009</v>
      </c>
      <c r="D23" s="10">
        <f t="shared" si="0"/>
        <v>910000</v>
      </c>
      <c r="E23" s="10">
        <f>SUM(B23:D23)</f>
        <v>2746576.5000000009</v>
      </c>
      <c r="K23" s="18" t="s">
        <v>2</v>
      </c>
      <c r="L23" s="19" t="s">
        <v>17</v>
      </c>
      <c r="M23" s="19" t="s">
        <v>18</v>
      </c>
      <c r="N23" s="19" t="s">
        <v>19</v>
      </c>
      <c r="O23" s="19" t="s">
        <v>20</v>
      </c>
    </row>
    <row r="24" spans="1:15" x14ac:dyDescent="0.3">
      <c r="A24" s="7" t="s">
        <v>9</v>
      </c>
      <c r="B24" s="10">
        <f t="shared" si="0"/>
        <v>0</v>
      </c>
      <c r="C24" s="10">
        <f t="shared" si="0"/>
        <v>0</v>
      </c>
      <c r="D24" s="10">
        <f t="shared" si="0"/>
        <v>0</v>
      </c>
      <c r="E24" s="10">
        <f>SUM(B24:D24)</f>
        <v>0</v>
      </c>
      <c r="K24" s="16" t="s">
        <v>7</v>
      </c>
      <c r="L24" s="21">
        <v>3000000</v>
      </c>
      <c r="M24" s="21">
        <v>2316462</v>
      </c>
      <c r="N24" s="22">
        <v>0</v>
      </c>
      <c r="O24" s="21">
        <v>5316462</v>
      </c>
    </row>
    <row r="25" spans="1:15" x14ac:dyDescent="0.3">
      <c r="A25" s="8" t="s">
        <v>21</v>
      </c>
      <c r="B25" s="11">
        <f>SUM(B22:B24)</f>
        <v>3000000</v>
      </c>
      <c r="C25" s="11">
        <f>SUM(C22:C24)</f>
        <v>4153038.5</v>
      </c>
      <c r="D25" s="11">
        <f>SUM(D22:D24)</f>
        <v>910000</v>
      </c>
      <c r="E25" s="11">
        <f>SUM(E22:E24)</f>
        <v>8063038.5</v>
      </c>
      <c r="K25" s="16" t="s">
        <v>8</v>
      </c>
      <c r="L25" s="22">
        <v>0</v>
      </c>
      <c r="M25" s="21">
        <v>1836577</v>
      </c>
      <c r="N25" s="21">
        <v>910000</v>
      </c>
      <c r="O25" s="21">
        <v>2746577</v>
      </c>
    </row>
    <row r="26" spans="1:15" x14ac:dyDescent="0.3">
      <c r="A26" s="5"/>
      <c r="B26" s="5"/>
      <c r="C26" s="5"/>
      <c r="D26" s="5"/>
      <c r="E26" s="5"/>
      <c r="K26" s="16" t="s">
        <v>9</v>
      </c>
      <c r="L26" s="22">
        <v>0</v>
      </c>
      <c r="M26" s="22">
        <v>0</v>
      </c>
      <c r="N26" s="22">
        <v>0</v>
      </c>
      <c r="O26" s="22">
        <v>0</v>
      </c>
    </row>
    <row r="27" spans="1:15" x14ac:dyDescent="0.3">
      <c r="A27" s="5"/>
      <c r="B27" s="5"/>
      <c r="C27" s="5"/>
      <c r="D27" s="29" t="s">
        <v>73</v>
      </c>
      <c r="E27" s="27">
        <f>E10-E25</f>
        <v>1782283.5</v>
      </c>
      <c r="K27" s="16" t="s">
        <v>15</v>
      </c>
      <c r="L27" s="21">
        <v>3000000</v>
      </c>
      <c r="M27" s="21">
        <v>4153039</v>
      </c>
      <c r="N27" s="21">
        <v>910000</v>
      </c>
      <c r="O27" s="21">
        <v>8063039</v>
      </c>
    </row>
    <row r="28" spans="1:15" x14ac:dyDescent="0.3">
      <c r="A28" s="4" t="s">
        <v>22</v>
      </c>
      <c r="B28" s="5"/>
      <c r="C28" s="5"/>
      <c r="D28" s="5"/>
      <c r="E28" s="5"/>
    </row>
    <row r="29" spans="1:15" x14ac:dyDescent="0.3">
      <c r="A29" s="6" t="s">
        <v>23</v>
      </c>
      <c r="B29" s="6" t="s">
        <v>24</v>
      </c>
      <c r="C29" s="6" t="s">
        <v>25</v>
      </c>
      <c r="D29" s="5"/>
      <c r="E29" s="5"/>
      <c r="K29" s="2" t="s">
        <v>35</v>
      </c>
    </row>
    <row r="30" spans="1:15" x14ac:dyDescent="0.3">
      <c r="A30" s="7" t="s">
        <v>26</v>
      </c>
      <c r="B30" s="10">
        <f>B17</f>
        <v>1500000</v>
      </c>
      <c r="C30" s="10">
        <v>1500000</v>
      </c>
      <c r="D30" s="5"/>
      <c r="E30" s="5"/>
      <c r="K30" s="17" t="s">
        <v>23</v>
      </c>
      <c r="L30" s="17" t="s">
        <v>53</v>
      </c>
    </row>
    <row r="31" spans="1:15" x14ac:dyDescent="0.3">
      <c r="A31" s="7" t="s">
        <v>27</v>
      </c>
      <c r="B31" s="10">
        <f>C17</f>
        <v>1800000</v>
      </c>
      <c r="C31" s="10">
        <v>1800000</v>
      </c>
      <c r="D31" s="5"/>
      <c r="E31" s="5"/>
      <c r="K31" s="20" t="s">
        <v>54</v>
      </c>
      <c r="L31" s="20" t="s">
        <v>55</v>
      </c>
    </row>
    <row r="32" spans="1:15" x14ac:dyDescent="0.3">
      <c r="A32" s="7" t="s">
        <v>28</v>
      </c>
      <c r="B32" s="10">
        <f>D17</f>
        <v>700000</v>
      </c>
      <c r="C32" s="10">
        <v>700000</v>
      </c>
      <c r="D32" s="5"/>
      <c r="E32" s="5"/>
      <c r="K32" s="20" t="s">
        <v>56</v>
      </c>
      <c r="L32" s="20" t="s">
        <v>55</v>
      </c>
    </row>
    <row r="33" spans="1:12" x14ac:dyDescent="0.3">
      <c r="A33" s="7" t="s">
        <v>29</v>
      </c>
      <c r="B33" s="10">
        <f>E17</f>
        <v>4000000</v>
      </c>
      <c r="C33" s="10">
        <v>4000000</v>
      </c>
      <c r="D33" s="5"/>
      <c r="E33" s="5"/>
      <c r="K33" s="20" t="s">
        <v>57</v>
      </c>
      <c r="L33" s="20" t="s">
        <v>55</v>
      </c>
    </row>
    <row r="34" spans="1:12" x14ac:dyDescent="0.3">
      <c r="A34" s="7" t="s">
        <v>30</v>
      </c>
      <c r="B34" s="10">
        <f>E22</f>
        <v>5316461.9999999991</v>
      </c>
      <c r="C34" s="10">
        <v>5316462</v>
      </c>
      <c r="D34" s="5"/>
      <c r="E34" s="5"/>
      <c r="K34" s="20" t="s">
        <v>29</v>
      </c>
      <c r="L34" s="20" t="s">
        <v>55</v>
      </c>
    </row>
    <row r="35" spans="1:12" x14ac:dyDescent="0.3">
      <c r="A35" s="7" t="s">
        <v>31</v>
      </c>
      <c r="B35" s="28">
        <f>E23</f>
        <v>2746576.5000000009</v>
      </c>
      <c r="C35" s="10">
        <v>3263445</v>
      </c>
      <c r="D35" s="5"/>
      <c r="E35" s="5"/>
      <c r="K35" s="20" t="s">
        <v>58</v>
      </c>
      <c r="L35" s="20" t="s">
        <v>59</v>
      </c>
    </row>
    <row r="36" spans="1:12" x14ac:dyDescent="0.3">
      <c r="A36" s="7" t="s">
        <v>32</v>
      </c>
      <c r="B36" s="28">
        <f>E24</f>
        <v>0</v>
      </c>
      <c r="C36" s="10">
        <v>1265415</v>
      </c>
      <c r="D36" s="5"/>
      <c r="E36" s="5"/>
    </row>
    <row r="37" spans="1:12" x14ac:dyDescent="0.3">
      <c r="A37" s="5"/>
      <c r="B37" s="5"/>
      <c r="C37" s="5"/>
      <c r="D37" s="5"/>
      <c r="E37" s="5"/>
      <c r="K37" s="26" t="s">
        <v>60</v>
      </c>
    </row>
    <row r="38" spans="1:12" x14ac:dyDescent="0.3">
      <c r="K38" s="5" t="s">
        <v>61</v>
      </c>
    </row>
    <row r="39" spans="1:12" x14ac:dyDescent="0.3">
      <c r="A39" s="13"/>
      <c r="B39" s="13"/>
      <c r="K39" s="5" t="s">
        <v>62</v>
      </c>
    </row>
    <row r="40" spans="1:12" x14ac:dyDescent="0.3">
      <c r="A40" s="14"/>
      <c r="B40" s="12"/>
      <c r="K40" s="5" t="s">
        <v>63</v>
      </c>
    </row>
    <row r="41" spans="1:12" x14ac:dyDescent="0.3">
      <c r="A41" s="14"/>
      <c r="B41" s="12"/>
      <c r="K41" s="5" t="s">
        <v>64</v>
      </c>
    </row>
    <row r="42" spans="1:12" x14ac:dyDescent="0.3">
      <c r="A42" s="14"/>
      <c r="B42" s="12"/>
      <c r="K42" s="5" t="s">
        <v>63</v>
      </c>
    </row>
    <row r="43" spans="1:12" x14ac:dyDescent="0.3">
      <c r="A43" s="14"/>
      <c r="B43" s="12"/>
      <c r="K43" s="5" t="s">
        <v>65</v>
      </c>
    </row>
    <row r="44" spans="1:12" x14ac:dyDescent="0.3">
      <c r="A44" s="14"/>
      <c r="B44" s="12"/>
      <c r="K44" s="5" t="s">
        <v>63</v>
      </c>
    </row>
    <row r="45" spans="1:12" x14ac:dyDescent="0.3">
      <c r="A45" s="14"/>
      <c r="B45" s="12"/>
      <c r="K45" s="5" t="s">
        <v>66</v>
      </c>
    </row>
    <row r="46" spans="1:12" x14ac:dyDescent="0.3">
      <c r="A46" s="14"/>
      <c r="B46" s="12"/>
      <c r="K46" s="5" t="s">
        <v>63</v>
      </c>
    </row>
    <row r="47" spans="1:12" x14ac:dyDescent="0.3">
      <c r="A47" s="14"/>
      <c r="B47" s="12"/>
      <c r="K47" s="5" t="s">
        <v>67</v>
      </c>
    </row>
    <row r="48" spans="1:12" x14ac:dyDescent="0.3">
      <c r="A48" s="14"/>
      <c r="B48" s="12"/>
      <c r="K48" s="5" t="s">
        <v>63</v>
      </c>
    </row>
    <row r="49" spans="1:12" x14ac:dyDescent="0.3">
      <c r="A49" s="14"/>
      <c r="B49" s="12"/>
      <c r="K49" s="5" t="s">
        <v>68</v>
      </c>
    </row>
    <row r="50" spans="1:12" x14ac:dyDescent="0.3">
      <c r="K50" s="5" t="s">
        <v>63</v>
      </c>
    </row>
    <row r="51" spans="1:12" x14ac:dyDescent="0.3">
      <c r="K51" s="5" t="s">
        <v>69</v>
      </c>
    </row>
    <row r="52" spans="1:12" x14ac:dyDescent="0.3">
      <c r="K52" s="5" t="s">
        <v>63</v>
      </c>
    </row>
    <row r="53" spans="1:12" x14ac:dyDescent="0.3">
      <c r="K53" s="5" t="s">
        <v>70</v>
      </c>
    </row>
    <row r="54" spans="1:12" x14ac:dyDescent="0.3">
      <c r="K54" s="5" t="s">
        <v>63</v>
      </c>
    </row>
    <row r="55" spans="1:12" x14ac:dyDescent="0.3">
      <c r="K55" s="5" t="s">
        <v>71</v>
      </c>
    </row>
    <row r="58" spans="1:12" x14ac:dyDescent="0.3">
      <c r="K58"/>
      <c r="L58"/>
    </row>
    <row r="59" spans="1:12" x14ac:dyDescent="0.3">
      <c r="K59"/>
      <c r="L59"/>
    </row>
    <row r="60" spans="1:12" x14ac:dyDescent="0.3">
      <c r="K60"/>
      <c r="L60"/>
    </row>
    <row r="61" spans="1:12" x14ac:dyDescent="0.3">
      <c r="K61"/>
      <c r="L61"/>
    </row>
    <row r="62" spans="1:12" x14ac:dyDescent="0.3">
      <c r="K62"/>
      <c r="L62"/>
    </row>
    <row r="63" spans="1:12" x14ac:dyDescent="0.3">
      <c r="K63"/>
      <c r="L63"/>
    </row>
    <row r="64" spans="1:12" x14ac:dyDescent="0.3">
      <c r="K64"/>
      <c r="L64"/>
    </row>
    <row r="65" spans="11:12" x14ac:dyDescent="0.3">
      <c r="K65"/>
      <c r="L65"/>
    </row>
    <row r="66" spans="11:12" x14ac:dyDescent="0.3">
      <c r="K66"/>
      <c r="L66"/>
    </row>
    <row r="67" spans="11:12" x14ac:dyDescent="0.3">
      <c r="K67"/>
      <c r="L67"/>
    </row>
    <row r="68" spans="11:12" x14ac:dyDescent="0.3">
      <c r="K68"/>
      <c r="L68"/>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A4222-5003-4382-B095-6F524530F46E}">
  <sheetPr>
    <tabColor theme="6" tint="0.79998168889431442"/>
  </sheetPr>
  <dimension ref="A1:P68"/>
  <sheetViews>
    <sheetView topLeftCell="A3" zoomScale="80" zoomScaleNormal="80" workbookViewId="0">
      <selection activeCell="L42" sqref="L42"/>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81</v>
      </c>
      <c r="L4" s="24" t="s">
        <v>82</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20" t="s">
        <v>34</v>
      </c>
      <c r="L6" s="20" t="s">
        <v>75</v>
      </c>
      <c r="M6" s="5"/>
    </row>
    <row r="7" spans="1:16" x14ac:dyDescent="0.3">
      <c r="A7" s="7" t="s">
        <v>7</v>
      </c>
      <c r="B7" s="9">
        <v>2</v>
      </c>
      <c r="C7" s="9">
        <v>2.4</v>
      </c>
      <c r="D7" s="9">
        <v>1.4</v>
      </c>
      <c r="E7" s="10">
        <v>5316462</v>
      </c>
      <c r="K7" s="20" t="s">
        <v>39</v>
      </c>
      <c r="L7" s="16" t="s">
        <v>76</v>
      </c>
      <c r="M7" s="5"/>
    </row>
    <row r="8" spans="1:16" x14ac:dyDescent="0.3">
      <c r="A8" s="7" t="s">
        <v>8</v>
      </c>
      <c r="B8" s="9">
        <v>1.7</v>
      </c>
      <c r="C8" s="9">
        <v>2.2000000000000002</v>
      </c>
      <c r="D8" s="9">
        <v>1.3</v>
      </c>
      <c r="E8" s="10">
        <v>3263445</v>
      </c>
      <c r="K8" s="20" t="s">
        <v>41</v>
      </c>
      <c r="L8" s="16" t="s">
        <v>77</v>
      </c>
      <c r="M8" s="5"/>
    </row>
    <row r="9" spans="1:16" x14ac:dyDescent="0.3">
      <c r="A9" s="7" t="s">
        <v>9</v>
      </c>
      <c r="B9" s="9">
        <v>1.5</v>
      </c>
      <c r="C9" s="9">
        <v>2</v>
      </c>
      <c r="D9" s="9">
        <v>1.2</v>
      </c>
      <c r="E9" s="10">
        <v>1265415</v>
      </c>
      <c r="K9" s="20" t="s">
        <v>43</v>
      </c>
      <c r="L9" s="23">
        <v>9845322</v>
      </c>
      <c r="M9" s="5"/>
    </row>
    <row r="10" spans="1:16" x14ac:dyDescent="0.3">
      <c r="A10" s="5"/>
      <c r="B10" s="5"/>
      <c r="C10" s="5"/>
      <c r="D10" s="29" t="s">
        <v>72</v>
      </c>
      <c r="E10" s="27">
        <f>SUM(E7:E9)</f>
        <v>9845322</v>
      </c>
      <c r="K10" s="20" t="s">
        <v>44</v>
      </c>
      <c r="L10" s="23">
        <v>5000000</v>
      </c>
      <c r="M10" s="5"/>
      <c r="N10" s="5"/>
      <c r="O10" s="5"/>
      <c r="P10" s="5"/>
    </row>
    <row r="11" spans="1:16" x14ac:dyDescent="0.3">
      <c r="A11" s="5"/>
      <c r="B11" s="5"/>
      <c r="C11" s="5"/>
      <c r="D11" s="5"/>
      <c r="E11" s="5"/>
      <c r="K11" s="20" t="s">
        <v>78</v>
      </c>
      <c r="L11" s="23" t="s">
        <v>79</v>
      </c>
      <c r="M11" s="5"/>
    </row>
    <row r="12" spans="1:16" x14ac:dyDescent="0.3">
      <c r="A12" s="4" t="s">
        <v>10</v>
      </c>
      <c r="B12" s="5"/>
      <c r="C12" s="5"/>
      <c r="D12" s="5"/>
      <c r="E12" s="5"/>
      <c r="K12" s="20" t="s">
        <v>45</v>
      </c>
      <c r="L12" s="23">
        <v>9789420</v>
      </c>
      <c r="M12" s="5"/>
    </row>
    <row r="13" spans="1:16" x14ac:dyDescent="0.3">
      <c r="A13" s="6" t="s">
        <v>2</v>
      </c>
      <c r="B13" s="6" t="s">
        <v>11</v>
      </c>
      <c r="C13" s="6" t="s">
        <v>12</v>
      </c>
      <c r="D13" s="6" t="s">
        <v>13</v>
      </c>
      <c r="E13" s="6" t="s">
        <v>14</v>
      </c>
      <c r="K13" s="20" t="s">
        <v>46</v>
      </c>
      <c r="L13" s="32">
        <v>55902</v>
      </c>
      <c r="M13" s="5"/>
    </row>
    <row r="14" spans="1:16" x14ac:dyDescent="0.3">
      <c r="A14" s="7" t="s">
        <v>7</v>
      </c>
      <c r="B14" s="10">
        <v>2500000</v>
      </c>
      <c r="C14" s="10">
        <v>131859.16666666628</v>
      </c>
      <c r="D14" s="10">
        <v>0</v>
      </c>
      <c r="E14" s="10">
        <f>SUM(B14:D14)</f>
        <v>2631859.166666666</v>
      </c>
      <c r="K14" s="33" t="s">
        <v>47</v>
      </c>
      <c r="L14" s="33" t="s">
        <v>80</v>
      </c>
      <c r="M14" s="15"/>
    </row>
    <row r="15" spans="1:16" x14ac:dyDescent="0.3">
      <c r="A15" s="7" t="s">
        <v>8</v>
      </c>
      <c r="B15" s="10">
        <v>0</v>
      </c>
      <c r="C15" s="10">
        <v>1483384.0909090911</v>
      </c>
      <c r="D15" s="10">
        <v>0</v>
      </c>
      <c r="E15" s="10">
        <f>SUM(B15:D15)</f>
        <v>1483384.0909090911</v>
      </c>
    </row>
    <row r="16" spans="1:16" x14ac:dyDescent="0.3">
      <c r="A16" s="7" t="s">
        <v>9</v>
      </c>
      <c r="B16" s="10">
        <v>0</v>
      </c>
      <c r="C16" s="10">
        <v>184756.74242424258</v>
      </c>
      <c r="D16" s="10">
        <v>700000</v>
      </c>
      <c r="E16" s="10">
        <f>SUM(B16:D16)</f>
        <v>884756.74242424255</v>
      </c>
      <c r="K16" s="25" t="s">
        <v>74</v>
      </c>
      <c r="L16" s="5"/>
      <c r="M16" s="5"/>
      <c r="N16" s="5"/>
      <c r="O16" s="5"/>
    </row>
    <row r="17" spans="1:15" x14ac:dyDescent="0.3">
      <c r="A17" s="8" t="s">
        <v>15</v>
      </c>
      <c r="B17" s="11">
        <f>SUM(B14:B16)</f>
        <v>2500000</v>
      </c>
      <c r="C17" s="11">
        <f>SUM(C14:C16)</f>
        <v>1800000</v>
      </c>
      <c r="D17" s="11">
        <f>SUM(D14:D16)</f>
        <v>700000</v>
      </c>
      <c r="E17" s="11">
        <f>SUM(E14:E16)</f>
        <v>4999999.9999999991</v>
      </c>
      <c r="K17" s="18" t="s">
        <v>2</v>
      </c>
      <c r="L17" s="19" t="s">
        <v>11</v>
      </c>
      <c r="M17" s="19" t="s">
        <v>12</v>
      </c>
      <c r="N17" s="19" t="s">
        <v>13</v>
      </c>
      <c r="O17" s="19" t="s">
        <v>29</v>
      </c>
    </row>
    <row r="18" spans="1:15" x14ac:dyDescent="0.3">
      <c r="A18" s="5"/>
      <c r="B18" s="5"/>
      <c r="C18" s="5"/>
      <c r="D18" s="5"/>
      <c r="E18" s="5"/>
      <c r="K18" s="16" t="s">
        <v>7</v>
      </c>
      <c r="L18" s="21">
        <v>2500000</v>
      </c>
      <c r="M18" s="21">
        <v>131859</v>
      </c>
      <c r="N18" s="22">
        <v>0</v>
      </c>
      <c r="O18" s="21">
        <v>2631859</v>
      </c>
    </row>
    <row r="19" spans="1:15" x14ac:dyDescent="0.3">
      <c r="A19" s="5"/>
      <c r="B19" s="5"/>
      <c r="C19" s="5"/>
      <c r="D19" s="5"/>
      <c r="E19" s="5"/>
      <c r="K19" s="16" t="s">
        <v>8</v>
      </c>
      <c r="L19" s="22">
        <v>0</v>
      </c>
      <c r="M19" s="21">
        <v>1483384</v>
      </c>
      <c r="N19" s="21">
        <v>0</v>
      </c>
      <c r="O19" s="21">
        <v>1483384</v>
      </c>
    </row>
    <row r="20" spans="1:15" x14ac:dyDescent="0.3">
      <c r="A20" s="4" t="s">
        <v>16</v>
      </c>
      <c r="B20" s="5"/>
      <c r="C20" s="5"/>
      <c r="D20" s="5"/>
      <c r="E20" s="5"/>
      <c r="K20" s="16" t="s">
        <v>9</v>
      </c>
      <c r="L20" s="22">
        <v>0</v>
      </c>
      <c r="M20" s="21">
        <v>184757</v>
      </c>
      <c r="N20" s="21">
        <v>700000</v>
      </c>
      <c r="O20" s="21">
        <v>884757</v>
      </c>
    </row>
    <row r="21" spans="1:15" x14ac:dyDescent="0.3">
      <c r="A21" s="6" t="s">
        <v>2</v>
      </c>
      <c r="B21" s="6" t="s">
        <v>17</v>
      </c>
      <c r="C21" s="6" t="s">
        <v>18</v>
      </c>
      <c r="D21" s="6" t="s">
        <v>19</v>
      </c>
      <c r="E21" s="6" t="s">
        <v>20</v>
      </c>
      <c r="K21" s="16" t="s">
        <v>15</v>
      </c>
      <c r="L21" s="21">
        <v>2500000</v>
      </c>
      <c r="M21" s="21">
        <v>1800000</v>
      </c>
      <c r="N21" s="21">
        <v>700000</v>
      </c>
      <c r="O21" s="21">
        <v>5000000</v>
      </c>
    </row>
    <row r="22" spans="1:15" x14ac:dyDescent="0.3">
      <c r="A22" s="7" t="s">
        <v>7</v>
      </c>
      <c r="B22" s="10">
        <f t="shared" ref="B22:D24" si="0">B14*B7</f>
        <v>5000000</v>
      </c>
      <c r="C22" s="10">
        <f t="shared" si="0"/>
        <v>316461.99999999907</v>
      </c>
      <c r="D22" s="10">
        <f t="shared" si="0"/>
        <v>0</v>
      </c>
      <c r="E22" s="10">
        <f>SUM(B22:D22)</f>
        <v>5316461.9999999991</v>
      </c>
    </row>
    <row r="23" spans="1:15" x14ac:dyDescent="0.3">
      <c r="A23" s="7" t="s">
        <v>8</v>
      </c>
      <c r="B23" s="10">
        <f t="shared" si="0"/>
        <v>0</v>
      </c>
      <c r="C23" s="10">
        <f t="shared" si="0"/>
        <v>3263445.0000000005</v>
      </c>
      <c r="D23" s="10">
        <f t="shared" si="0"/>
        <v>0</v>
      </c>
      <c r="E23" s="10">
        <f>SUM(B23:D23)</f>
        <v>3263445.0000000005</v>
      </c>
      <c r="K23" s="25" t="s">
        <v>52</v>
      </c>
      <c r="L23" s="5"/>
      <c r="M23" s="5"/>
      <c r="N23" s="5"/>
      <c r="O23" s="5"/>
    </row>
    <row r="24" spans="1:15" x14ac:dyDescent="0.3">
      <c r="A24" s="7" t="s">
        <v>9</v>
      </c>
      <c r="B24" s="10">
        <f t="shared" si="0"/>
        <v>0</v>
      </c>
      <c r="C24" s="10">
        <f t="shared" si="0"/>
        <v>369513.48484848515</v>
      </c>
      <c r="D24" s="10">
        <f t="shared" si="0"/>
        <v>840000</v>
      </c>
      <c r="E24" s="10">
        <f>SUM(B24:D24)</f>
        <v>1209513.4848484851</v>
      </c>
      <c r="K24" s="18" t="s">
        <v>2</v>
      </c>
      <c r="L24" s="19" t="s">
        <v>17</v>
      </c>
      <c r="M24" s="19" t="s">
        <v>18</v>
      </c>
      <c r="N24" s="19" t="s">
        <v>19</v>
      </c>
      <c r="O24" s="19" t="s">
        <v>20</v>
      </c>
    </row>
    <row r="25" spans="1:15" x14ac:dyDescent="0.3">
      <c r="A25" s="8" t="s">
        <v>21</v>
      </c>
      <c r="B25" s="11">
        <f>SUM(B22:B24)</f>
        <v>5000000</v>
      </c>
      <c r="C25" s="11">
        <f>SUM(C22:C24)</f>
        <v>3949420.4848484849</v>
      </c>
      <c r="D25" s="11">
        <f>SUM(D22:D24)</f>
        <v>840000</v>
      </c>
      <c r="E25" s="11">
        <f>SUM(E22:E24)</f>
        <v>9789420.4848484844</v>
      </c>
      <c r="K25" s="16" t="s">
        <v>7</v>
      </c>
      <c r="L25" s="21">
        <v>5000000</v>
      </c>
      <c r="M25" s="21">
        <v>316462</v>
      </c>
      <c r="N25" s="22">
        <v>0</v>
      </c>
      <c r="O25" s="21">
        <v>5316462</v>
      </c>
    </row>
    <row r="26" spans="1:15" x14ac:dyDescent="0.3">
      <c r="A26" s="5"/>
      <c r="B26" s="5"/>
      <c r="C26" s="5"/>
      <c r="D26" s="5"/>
      <c r="E26" s="5"/>
      <c r="K26" s="16" t="s">
        <v>8</v>
      </c>
      <c r="L26" s="22">
        <v>0</v>
      </c>
      <c r="M26" s="21">
        <v>3263445</v>
      </c>
      <c r="N26" s="21">
        <v>0</v>
      </c>
      <c r="O26" s="21">
        <v>3263445</v>
      </c>
    </row>
    <row r="27" spans="1:15" x14ac:dyDescent="0.3">
      <c r="A27" s="5"/>
      <c r="B27" s="5"/>
      <c r="C27" s="5"/>
      <c r="D27" s="29" t="s">
        <v>73</v>
      </c>
      <c r="E27" s="27">
        <f>E10-E25</f>
        <v>55901.515151515603</v>
      </c>
      <c r="K27" s="16" t="s">
        <v>9</v>
      </c>
      <c r="L27" s="22">
        <v>0</v>
      </c>
      <c r="M27" s="21">
        <v>369513</v>
      </c>
      <c r="N27" s="21">
        <v>840000</v>
      </c>
      <c r="O27" s="21">
        <v>1209513</v>
      </c>
    </row>
    <row r="28" spans="1:15" x14ac:dyDescent="0.3">
      <c r="A28" s="4" t="s">
        <v>22</v>
      </c>
      <c r="B28" s="5"/>
      <c r="C28" s="5"/>
      <c r="D28" s="5"/>
      <c r="E28" s="5"/>
      <c r="K28" s="16" t="s">
        <v>15</v>
      </c>
      <c r="L28" s="21">
        <v>5000000</v>
      </c>
      <c r="M28" s="21">
        <v>3949420</v>
      </c>
      <c r="N28" s="21">
        <v>840000</v>
      </c>
      <c r="O28" s="21">
        <v>9789420</v>
      </c>
    </row>
    <row r="29" spans="1:15" x14ac:dyDescent="0.3">
      <c r="A29" s="6" t="s">
        <v>23</v>
      </c>
      <c r="B29" s="6" t="s">
        <v>24</v>
      </c>
      <c r="C29" s="6" t="s">
        <v>25</v>
      </c>
      <c r="D29" s="5"/>
      <c r="E29" s="5"/>
    </row>
    <row r="30" spans="1:15" x14ac:dyDescent="0.3">
      <c r="A30" s="7" t="s">
        <v>26</v>
      </c>
      <c r="B30" s="10">
        <f>B17</f>
        <v>2500000</v>
      </c>
      <c r="C30" s="10">
        <v>2500000</v>
      </c>
      <c r="D30" s="5"/>
      <c r="E30" s="5"/>
      <c r="K30" s="26" t="s">
        <v>35</v>
      </c>
    </row>
    <row r="31" spans="1:15" x14ac:dyDescent="0.3">
      <c r="A31" s="7" t="s">
        <v>27</v>
      </c>
      <c r="B31" s="10">
        <f>C17</f>
        <v>1800000</v>
      </c>
      <c r="C31" s="10">
        <v>1800000</v>
      </c>
      <c r="D31" s="5"/>
      <c r="E31" s="5"/>
      <c r="K31" s="17" t="s">
        <v>23</v>
      </c>
      <c r="L31" s="17" t="s">
        <v>53</v>
      </c>
    </row>
    <row r="32" spans="1:15" x14ac:dyDescent="0.3">
      <c r="A32" s="7" t="s">
        <v>28</v>
      </c>
      <c r="B32" s="10">
        <f>D17</f>
        <v>700000</v>
      </c>
      <c r="C32" s="10">
        <v>700000</v>
      </c>
      <c r="D32" s="5"/>
      <c r="E32" s="5"/>
      <c r="K32" s="20" t="s">
        <v>54</v>
      </c>
      <c r="L32" s="20" t="s">
        <v>55</v>
      </c>
    </row>
    <row r="33" spans="1:12" x14ac:dyDescent="0.3">
      <c r="A33" s="7" t="s">
        <v>29</v>
      </c>
      <c r="B33" s="10">
        <f>E17</f>
        <v>4999999.9999999991</v>
      </c>
      <c r="C33" s="10">
        <f>SUM(C30:C32)</f>
        <v>5000000</v>
      </c>
      <c r="D33" s="5"/>
      <c r="E33" s="5"/>
      <c r="K33" s="20" t="s">
        <v>56</v>
      </c>
      <c r="L33" s="20" t="s">
        <v>55</v>
      </c>
    </row>
    <row r="34" spans="1:12" x14ac:dyDescent="0.3">
      <c r="A34" s="7" t="s">
        <v>30</v>
      </c>
      <c r="B34" s="10">
        <f>E22</f>
        <v>5316461.9999999991</v>
      </c>
      <c r="C34" s="10">
        <v>5316462</v>
      </c>
      <c r="D34" s="5"/>
      <c r="E34" s="5"/>
      <c r="K34" s="20" t="s">
        <v>57</v>
      </c>
      <c r="L34" s="20" t="s">
        <v>55</v>
      </c>
    </row>
    <row r="35" spans="1:12" x14ac:dyDescent="0.3">
      <c r="A35" s="7" t="s">
        <v>31</v>
      </c>
      <c r="B35" s="31">
        <f>E23</f>
        <v>3263445.0000000005</v>
      </c>
      <c r="C35" s="10">
        <v>3263445</v>
      </c>
      <c r="D35" s="5"/>
      <c r="E35" s="5"/>
      <c r="K35" s="20" t="s">
        <v>29</v>
      </c>
      <c r="L35" s="20" t="s">
        <v>55</v>
      </c>
    </row>
    <row r="36" spans="1:12" x14ac:dyDescent="0.3">
      <c r="A36" s="7" t="s">
        <v>32</v>
      </c>
      <c r="B36" s="30">
        <f>E24</f>
        <v>1209513.4848484851</v>
      </c>
      <c r="C36" s="10">
        <v>1265415</v>
      </c>
      <c r="D36" s="5"/>
      <c r="E36" s="5"/>
      <c r="K36" s="20" t="s">
        <v>58</v>
      </c>
      <c r="L36" s="20" t="s">
        <v>59</v>
      </c>
    </row>
    <row r="37" spans="1:12" x14ac:dyDescent="0.3">
      <c r="A37" s="5"/>
      <c r="B37" s="5"/>
      <c r="C37" s="5"/>
      <c r="D37" s="5"/>
      <c r="E37" s="5"/>
      <c r="K37" s="2" t="s">
        <v>83</v>
      </c>
      <c r="L37" s="2" t="s">
        <v>59</v>
      </c>
    </row>
    <row r="39" spans="1:12" x14ac:dyDescent="0.3">
      <c r="A39" s="13"/>
      <c r="B39" s="13"/>
      <c r="K39" s="25" t="s">
        <v>86</v>
      </c>
    </row>
    <row r="40" spans="1:12" x14ac:dyDescent="0.3">
      <c r="A40" s="14"/>
      <c r="B40" s="12"/>
      <c r="K40" s="25" t="s">
        <v>23</v>
      </c>
      <c r="L40" s="25" t="s">
        <v>53</v>
      </c>
    </row>
    <row r="41" spans="1:12" x14ac:dyDescent="0.3">
      <c r="A41" s="14"/>
      <c r="B41" s="12"/>
      <c r="K41" s="5" t="s">
        <v>84</v>
      </c>
      <c r="L41" s="5" t="s">
        <v>85</v>
      </c>
    </row>
    <row r="42" spans="1:12" x14ac:dyDescent="0.3">
      <c r="A42" s="14"/>
      <c r="B42" s="12"/>
    </row>
    <row r="43" spans="1:12" x14ac:dyDescent="0.3">
      <c r="A43" s="14"/>
      <c r="B43" s="12"/>
      <c r="K43" s="26" t="s">
        <v>60</v>
      </c>
    </row>
    <row r="44" spans="1:12" x14ac:dyDescent="0.3">
      <c r="A44" s="14"/>
      <c r="B44" s="12"/>
      <c r="K44" s="5" t="s">
        <v>61</v>
      </c>
    </row>
    <row r="45" spans="1:12" x14ac:dyDescent="0.3">
      <c r="A45" s="14"/>
      <c r="B45" s="12"/>
      <c r="K45" s="5" t="s">
        <v>62</v>
      </c>
    </row>
    <row r="46" spans="1:12" x14ac:dyDescent="0.3">
      <c r="A46" s="14"/>
      <c r="B46" s="12"/>
      <c r="K46" s="5" t="s">
        <v>63</v>
      </c>
    </row>
    <row r="47" spans="1:12" x14ac:dyDescent="0.3">
      <c r="A47" s="14"/>
      <c r="B47" s="12"/>
      <c r="K47" s="5" t="s">
        <v>64</v>
      </c>
    </row>
    <row r="48" spans="1:12" x14ac:dyDescent="0.3">
      <c r="A48" s="14"/>
      <c r="B48" s="12"/>
      <c r="K48" s="5" t="s">
        <v>63</v>
      </c>
    </row>
    <row r="49" spans="1:12" x14ac:dyDescent="0.3">
      <c r="A49" s="14"/>
      <c r="B49" s="12"/>
      <c r="K49" s="5" t="s">
        <v>65</v>
      </c>
    </row>
    <row r="50" spans="1:12" x14ac:dyDescent="0.3">
      <c r="K50" s="5" t="s">
        <v>63</v>
      </c>
    </row>
    <row r="51" spans="1:12" x14ac:dyDescent="0.3">
      <c r="K51" s="5" t="s">
        <v>66</v>
      </c>
    </row>
    <row r="52" spans="1:12" x14ac:dyDescent="0.3">
      <c r="K52" s="5" t="s">
        <v>63</v>
      </c>
    </row>
    <row r="53" spans="1:12" x14ac:dyDescent="0.3">
      <c r="K53" s="5" t="s">
        <v>67</v>
      </c>
    </row>
    <row r="54" spans="1:12" x14ac:dyDescent="0.3">
      <c r="K54" s="5" t="s">
        <v>63</v>
      </c>
    </row>
    <row r="55" spans="1:12" x14ac:dyDescent="0.3">
      <c r="K55" s="5" t="s">
        <v>68</v>
      </c>
    </row>
    <row r="56" spans="1:12" x14ac:dyDescent="0.3">
      <c r="K56" s="5" t="s">
        <v>63</v>
      </c>
    </row>
    <row r="57" spans="1:12" x14ac:dyDescent="0.3">
      <c r="K57" s="5" t="s">
        <v>69</v>
      </c>
    </row>
    <row r="58" spans="1:12" x14ac:dyDescent="0.3">
      <c r="K58" s="5" t="s">
        <v>63</v>
      </c>
      <c r="L58"/>
    </row>
    <row r="59" spans="1:12" x14ac:dyDescent="0.3">
      <c r="K59" s="5" t="s">
        <v>70</v>
      </c>
      <c r="L59"/>
    </row>
    <row r="60" spans="1:12" x14ac:dyDescent="0.3">
      <c r="K60" s="5" t="s">
        <v>63</v>
      </c>
      <c r="L60"/>
    </row>
    <row r="61" spans="1:12" x14ac:dyDescent="0.3">
      <c r="K61" s="5" t="s">
        <v>71</v>
      </c>
      <c r="L61"/>
    </row>
    <row r="62" spans="1:12" x14ac:dyDescent="0.3">
      <c r="K62"/>
      <c r="L62"/>
    </row>
    <row r="63" spans="1:12" x14ac:dyDescent="0.3">
      <c r="K63"/>
      <c r="L63"/>
    </row>
    <row r="64" spans="1:12" x14ac:dyDescent="0.3">
      <c r="K64"/>
      <c r="L64"/>
    </row>
    <row r="65" spans="11:12" x14ac:dyDescent="0.3">
      <c r="K65"/>
      <c r="L65"/>
    </row>
    <row r="66" spans="11:12" x14ac:dyDescent="0.3">
      <c r="K66"/>
      <c r="L66"/>
    </row>
    <row r="67" spans="11:12" x14ac:dyDescent="0.3">
      <c r="K67"/>
      <c r="L67"/>
    </row>
    <row r="68" spans="11:12" x14ac:dyDescent="0.3">
      <c r="K68"/>
      <c r="L68"/>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9D10-E5A8-4C19-A851-23A17684D452}">
  <sheetPr>
    <tabColor theme="6" tint="-0.249977111117893"/>
  </sheetPr>
  <dimension ref="A1:P95"/>
  <sheetViews>
    <sheetView topLeftCell="A24" zoomScale="80" zoomScaleNormal="80" workbookViewId="0">
      <selection activeCell="E10" sqref="E10"/>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161</v>
      </c>
      <c r="L4" s="24" t="s">
        <v>162</v>
      </c>
      <c r="M4" s="5"/>
    </row>
    <row r="5" spans="1:16" x14ac:dyDescent="0.3">
      <c r="A5" s="4" t="s">
        <v>1</v>
      </c>
      <c r="B5" s="5"/>
      <c r="C5" s="5"/>
      <c r="D5" s="5"/>
      <c r="E5" s="5"/>
      <c r="K5" s="18" t="s">
        <v>37</v>
      </c>
      <c r="L5" s="18" t="s">
        <v>38</v>
      </c>
      <c r="M5" s="5"/>
    </row>
    <row r="6" spans="1:16" x14ac:dyDescent="0.3">
      <c r="A6" s="6" t="s">
        <v>2</v>
      </c>
      <c r="B6" s="6" t="s">
        <v>3</v>
      </c>
      <c r="C6" s="6" t="s">
        <v>4</v>
      </c>
      <c r="D6" s="6" t="s">
        <v>5</v>
      </c>
      <c r="E6" s="6" t="s">
        <v>6</v>
      </c>
      <c r="K6" s="16" t="s">
        <v>34</v>
      </c>
      <c r="L6" s="16" t="s">
        <v>163</v>
      </c>
      <c r="M6" s="5"/>
    </row>
    <row r="7" spans="1:16" x14ac:dyDescent="0.3">
      <c r="A7" s="7" t="s">
        <v>7</v>
      </c>
      <c r="B7" s="9">
        <v>2</v>
      </c>
      <c r="C7" s="9">
        <v>2.4</v>
      </c>
      <c r="D7" s="9">
        <v>1.4</v>
      </c>
      <c r="E7" s="10">
        <v>5316462</v>
      </c>
      <c r="K7" s="16" t="s">
        <v>39</v>
      </c>
      <c r="L7" s="16" t="s">
        <v>164</v>
      </c>
      <c r="M7" s="5"/>
    </row>
    <row r="8" spans="1:16" x14ac:dyDescent="0.3">
      <c r="A8" s="7" t="s">
        <v>8</v>
      </c>
      <c r="B8" s="9">
        <v>1.7</v>
      </c>
      <c r="C8" s="9">
        <v>2.2000000000000002</v>
      </c>
      <c r="D8" s="9">
        <v>1.3</v>
      </c>
      <c r="E8" s="10">
        <v>3263445</v>
      </c>
      <c r="K8" s="16" t="s">
        <v>91</v>
      </c>
      <c r="L8" s="16" t="s">
        <v>165</v>
      </c>
      <c r="M8" s="5"/>
    </row>
    <row r="9" spans="1:16" x14ac:dyDescent="0.3">
      <c r="A9" s="7" t="s">
        <v>9</v>
      </c>
      <c r="B9" s="9">
        <v>1.5</v>
      </c>
      <c r="C9" s="9">
        <v>2</v>
      </c>
      <c r="D9" s="9">
        <v>1.2</v>
      </c>
      <c r="E9" s="10">
        <v>1265415</v>
      </c>
      <c r="K9" s="16" t="s">
        <v>41</v>
      </c>
      <c r="L9" s="32" t="s">
        <v>166</v>
      </c>
      <c r="M9" s="5"/>
    </row>
    <row r="10" spans="1:16" x14ac:dyDescent="0.3">
      <c r="A10" s="7" t="s">
        <v>150</v>
      </c>
      <c r="B10" s="9">
        <v>1.6</v>
      </c>
      <c r="C10" s="9">
        <v>2.1</v>
      </c>
      <c r="D10" s="9">
        <v>1.2</v>
      </c>
      <c r="E10" s="10">
        <v>616374</v>
      </c>
      <c r="K10" s="16" t="s">
        <v>167</v>
      </c>
      <c r="L10" s="32">
        <v>11893944</v>
      </c>
      <c r="M10" s="5"/>
      <c r="N10" s="5"/>
      <c r="O10" s="5"/>
      <c r="P10" s="5"/>
    </row>
    <row r="11" spans="1:16" x14ac:dyDescent="0.3">
      <c r="A11" s="7" t="s">
        <v>151</v>
      </c>
      <c r="B11" s="9">
        <v>1.8</v>
      </c>
      <c r="C11" s="9">
        <v>2</v>
      </c>
      <c r="D11" s="9">
        <v>1.3</v>
      </c>
      <c r="E11" s="10">
        <v>1001120</v>
      </c>
      <c r="K11" s="16" t="s">
        <v>168</v>
      </c>
      <c r="L11" s="32">
        <v>7000000</v>
      </c>
      <c r="M11" s="5"/>
    </row>
    <row r="12" spans="1:16" x14ac:dyDescent="0.3">
      <c r="A12" s="7" t="s">
        <v>152</v>
      </c>
      <c r="B12" s="9">
        <v>1.6</v>
      </c>
      <c r="C12" s="9">
        <v>2.1</v>
      </c>
      <c r="D12" s="9">
        <v>1.2</v>
      </c>
      <c r="E12" s="10">
        <v>431128</v>
      </c>
      <c r="K12" s="16" t="s">
        <v>142</v>
      </c>
      <c r="L12" s="32">
        <v>3500000</v>
      </c>
      <c r="M12" s="5"/>
    </row>
    <row r="13" spans="1:16" x14ac:dyDescent="0.3">
      <c r="A13" s="5"/>
      <c r="B13" s="5"/>
      <c r="C13" s="5"/>
      <c r="D13" s="29" t="s">
        <v>72</v>
      </c>
      <c r="E13" s="27">
        <f>SUM(E7:E12)</f>
        <v>11893944</v>
      </c>
      <c r="K13" s="16" t="s">
        <v>169</v>
      </c>
      <c r="L13" s="32">
        <v>2500000</v>
      </c>
      <c r="M13" s="5"/>
    </row>
    <row r="14" spans="1:16" x14ac:dyDescent="0.3">
      <c r="A14" s="5"/>
      <c r="B14" s="5"/>
      <c r="C14" s="5"/>
      <c r="D14" s="29"/>
      <c r="E14" s="27"/>
      <c r="K14" s="41" t="s">
        <v>170</v>
      </c>
      <c r="L14" s="42">
        <v>1000000</v>
      </c>
      <c r="M14" s="15"/>
    </row>
    <row r="15" spans="1:16" x14ac:dyDescent="0.3">
      <c r="A15" s="5"/>
      <c r="B15" s="5"/>
      <c r="C15" s="5"/>
      <c r="D15" s="5"/>
      <c r="E15" s="5"/>
      <c r="K15" s="41" t="s">
        <v>45</v>
      </c>
      <c r="L15" s="42">
        <v>11893944</v>
      </c>
      <c r="M15" s="15"/>
    </row>
    <row r="16" spans="1:16" x14ac:dyDescent="0.3">
      <c r="A16" s="4" t="s">
        <v>10</v>
      </c>
      <c r="B16" s="5"/>
      <c r="C16" s="5"/>
      <c r="D16" s="5"/>
      <c r="E16" s="5"/>
      <c r="K16" s="41" t="s">
        <v>46</v>
      </c>
      <c r="L16" s="41">
        <v>0</v>
      </c>
      <c r="M16" s="15"/>
    </row>
    <row r="17" spans="1:15" x14ac:dyDescent="0.3">
      <c r="A17" s="6" t="s">
        <v>2</v>
      </c>
      <c r="B17" s="6" t="s">
        <v>11</v>
      </c>
      <c r="C17" s="6" t="s">
        <v>12</v>
      </c>
      <c r="D17" s="6" t="s">
        <v>13</v>
      </c>
      <c r="E17" s="6" t="s">
        <v>14</v>
      </c>
      <c r="K17" s="41" t="s">
        <v>171</v>
      </c>
      <c r="L17" s="42">
        <v>5992768</v>
      </c>
      <c r="M17" s="15"/>
    </row>
    <row r="18" spans="1:15" x14ac:dyDescent="0.3">
      <c r="A18" s="7" t="s">
        <v>7</v>
      </c>
      <c r="B18" s="10">
        <v>1438291.9090909092</v>
      </c>
      <c r="C18" s="10">
        <v>1016615.9090909092</v>
      </c>
      <c r="D18" s="10">
        <v>0</v>
      </c>
      <c r="E18" s="10">
        <f>SUM(B18:D18)</f>
        <v>2454907.8181818184</v>
      </c>
      <c r="K18" s="41" t="s">
        <v>172</v>
      </c>
      <c r="L18" s="42">
        <v>1007232</v>
      </c>
      <c r="M18" s="15"/>
    </row>
    <row r="19" spans="1:15" x14ac:dyDescent="0.3">
      <c r="A19" s="7" t="s">
        <v>8</v>
      </c>
      <c r="B19" s="10">
        <v>0</v>
      </c>
      <c r="C19" s="10">
        <v>1483384.0909090908</v>
      </c>
      <c r="D19" s="10">
        <v>0</v>
      </c>
      <c r="E19" s="10">
        <f>SUM(B19:D19)</f>
        <v>1483384.0909090908</v>
      </c>
      <c r="K19" s="41" t="s">
        <v>122</v>
      </c>
      <c r="L19" s="41" t="s">
        <v>173</v>
      </c>
      <c r="M19" s="15"/>
    </row>
    <row r="20" spans="1:15" x14ac:dyDescent="0.3">
      <c r="A20" s="7" t="s">
        <v>9</v>
      </c>
      <c r="B20" s="10">
        <v>843610</v>
      </c>
      <c r="C20" s="10">
        <v>0</v>
      </c>
      <c r="D20" s="10">
        <v>0</v>
      </c>
      <c r="E20" s="10">
        <f>SUM(B20:D20)</f>
        <v>843610</v>
      </c>
      <c r="K20" s="33" t="s">
        <v>47</v>
      </c>
      <c r="L20" s="33" t="s">
        <v>174</v>
      </c>
      <c r="M20" s="15"/>
    </row>
    <row r="21" spans="1:15" x14ac:dyDescent="0.3">
      <c r="A21" s="7" t="s">
        <v>150</v>
      </c>
      <c r="B21" s="10">
        <v>385233.75</v>
      </c>
      <c r="C21" s="10">
        <v>0</v>
      </c>
      <c r="D21" s="10">
        <v>0</v>
      </c>
      <c r="E21" s="10">
        <f t="shared" ref="E21:E23" si="0">SUM(B21:D21)</f>
        <v>385233.75</v>
      </c>
    </row>
    <row r="22" spans="1:15" x14ac:dyDescent="0.3">
      <c r="A22" s="7" t="s">
        <v>151</v>
      </c>
      <c r="B22" s="10">
        <v>556177.77777777775</v>
      </c>
      <c r="C22" s="10">
        <v>0</v>
      </c>
      <c r="D22" s="10">
        <v>0</v>
      </c>
      <c r="E22" s="10">
        <f t="shared" si="0"/>
        <v>556177.77777777775</v>
      </c>
    </row>
    <row r="23" spans="1:15" x14ac:dyDescent="0.3">
      <c r="A23" s="7" t="s">
        <v>152</v>
      </c>
      <c r="B23" s="10">
        <v>269455</v>
      </c>
      <c r="C23" s="10">
        <v>0</v>
      </c>
      <c r="D23" s="10">
        <v>0</v>
      </c>
      <c r="E23" s="10">
        <f t="shared" si="0"/>
        <v>269455</v>
      </c>
      <c r="K23" s="25" t="s">
        <v>74</v>
      </c>
      <c r="L23" s="5"/>
      <c r="M23" s="5"/>
      <c r="N23" s="5"/>
      <c r="O23" s="5"/>
    </row>
    <row r="24" spans="1:15" x14ac:dyDescent="0.3">
      <c r="A24" s="8" t="s">
        <v>15</v>
      </c>
      <c r="B24" s="11">
        <f>SUM(B18:B23)</f>
        <v>3492768.4368686872</v>
      </c>
      <c r="C24" s="11">
        <f>SUM(C18:C23)</f>
        <v>2500000</v>
      </c>
      <c r="D24" s="11">
        <f>SUM(D18:D23)</f>
        <v>0</v>
      </c>
      <c r="E24" s="11">
        <f>SUM(E18:E23)</f>
        <v>5992768.4368686872</v>
      </c>
      <c r="K24" s="18" t="s">
        <v>2</v>
      </c>
      <c r="L24" s="19" t="s">
        <v>11</v>
      </c>
      <c r="M24" s="19" t="s">
        <v>12</v>
      </c>
      <c r="N24" s="19" t="s">
        <v>13</v>
      </c>
      <c r="O24" s="19" t="s">
        <v>29</v>
      </c>
    </row>
    <row r="25" spans="1:15" x14ac:dyDescent="0.3">
      <c r="A25" s="5"/>
      <c r="B25" s="5"/>
      <c r="C25" s="5"/>
      <c r="D25" s="5"/>
      <c r="E25" s="5"/>
      <c r="K25" s="16" t="s">
        <v>7</v>
      </c>
      <c r="L25" s="21">
        <v>1438292</v>
      </c>
      <c r="M25" s="21">
        <v>1016616</v>
      </c>
      <c r="N25" s="22">
        <v>0</v>
      </c>
      <c r="O25" s="21">
        <v>2454908</v>
      </c>
    </row>
    <row r="26" spans="1:15" x14ac:dyDescent="0.3">
      <c r="A26" s="5"/>
      <c r="B26" s="5"/>
      <c r="C26" s="5"/>
      <c r="D26" s="5"/>
      <c r="E26" s="5"/>
      <c r="K26" s="16" t="s">
        <v>8</v>
      </c>
      <c r="L26" s="22">
        <v>0</v>
      </c>
      <c r="M26" s="21">
        <v>1483384</v>
      </c>
      <c r="N26" s="21">
        <v>0</v>
      </c>
      <c r="O26" s="21">
        <v>1483384</v>
      </c>
    </row>
    <row r="27" spans="1:15" x14ac:dyDescent="0.3">
      <c r="A27" s="4" t="s">
        <v>16</v>
      </c>
      <c r="B27" s="5"/>
      <c r="C27" s="5"/>
      <c r="D27" s="5"/>
      <c r="E27" s="5"/>
      <c r="K27" s="16" t="s">
        <v>9</v>
      </c>
      <c r="L27" s="21">
        <v>843610</v>
      </c>
      <c r="M27" s="21">
        <v>0</v>
      </c>
      <c r="N27" s="21">
        <v>0</v>
      </c>
      <c r="O27" s="21">
        <v>843610</v>
      </c>
    </row>
    <row r="28" spans="1:15" x14ac:dyDescent="0.3">
      <c r="A28" s="6" t="s">
        <v>2</v>
      </c>
      <c r="B28" s="6" t="s">
        <v>17</v>
      </c>
      <c r="C28" s="6" t="s">
        <v>18</v>
      </c>
      <c r="D28" s="6" t="s">
        <v>19</v>
      </c>
      <c r="E28" s="6" t="s">
        <v>20</v>
      </c>
      <c r="K28" s="16" t="s">
        <v>150</v>
      </c>
      <c r="L28" s="21">
        <v>385234</v>
      </c>
      <c r="M28" s="21">
        <v>0</v>
      </c>
      <c r="N28" s="21">
        <v>0</v>
      </c>
      <c r="O28" s="21">
        <v>385234</v>
      </c>
    </row>
    <row r="29" spans="1:15" x14ac:dyDescent="0.3">
      <c r="A29" s="7" t="s">
        <v>7</v>
      </c>
      <c r="B29" s="10">
        <f t="shared" ref="B29:D34" si="1">B18*B7</f>
        <v>2876583.8181818184</v>
      </c>
      <c r="C29" s="10">
        <f t="shared" si="1"/>
        <v>2439878.1818181821</v>
      </c>
      <c r="D29" s="10">
        <f t="shared" si="1"/>
        <v>0</v>
      </c>
      <c r="E29" s="10">
        <f>SUM(B29:D29)</f>
        <v>5316462</v>
      </c>
      <c r="K29" s="16" t="s">
        <v>151</v>
      </c>
      <c r="L29" s="21">
        <v>556178</v>
      </c>
      <c r="M29" s="21">
        <v>0</v>
      </c>
      <c r="N29" s="21">
        <v>0</v>
      </c>
      <c r="O29" s="21">
        <v>556178</v>
      </c>
    </row>
    <row r="30" spans="1:15" x14ac:dyDescent="0.3">
      <c r="A30" s="7" t="s">
        <v>8</v>
      </c>
      <c r="B30" s="10">
        <f t="shared" si="1"/>
        <v>0</v>
      </c>
      <c r="C30" s="10">
        <f t="shared" si="1"/>
        <v>3263445</v>
      </c>
      <c r="D30" s="10">
        <f t="shared" si="1"/>
        <v>0</v>
      </c>
      <c r="E30" s="10">
        <f>SUM(B30:D30)</f>
        <v>3263445</v>
      </c>
      <c r="K30" s="16" t="s">
        <v>152</v>
      </c>
      <c r="L30" s="21">
        <v>269455</v>
      </c>
      <c r="M30" s="21">
        <v>0</v>
      </c>
      <c r="N30" s="21">
        <v>0</v>
      </c>
      <c r="O30" s="21">
        <v>269455</v>
      </c>
    </row>
    <row r="31" spans="1:15" x14ac:dyDescent="0.3">
      <c r="A31" s="7" t="s">
        <v>9</v>
      </c>
      <c r="B31" s="10">
        <f t="shared" si="1"/>
        <v>1265415</v>
      </c>
      <c r="C31" s="10">
        <f t="shared" si="1"/>
        <v>0</v>
      </c>
      <c r="D31" s="10">
        <f t="shared" si="1"/>
        <v>0</v>
      </c>
      <c r="E31" s="10">
        <f>SUM(B31:D31)</f>
        <v>1265415</v>
      </c>
      <c r="K31" s="16" t="s">
        <v>15</v>
      </c>
      <c r="L31" s="21">
        <v>3492768</v>
      </c>
      <c r="M31" s="21">
        <v>2500000</v>
      </c>
      <c r="N31" s="21">
        <v>0</v>
      </c>
      <c r="O31" s="21">
        <v>5992768</v>
      </c>
    </row>
    <row r="32" spans="1:15" x14ac:dyDescent="0.3">
      <c r="A32" s="7" t="s">
        <v>150</v>
      </c>
      <c r="B32" s="10">
        <f t="shared" si="1"/>
        <v>616374</v>
      </c>
      <c r="C32" s="10">
        <f t="shared" si="1"/>
        <v>0</v>
      </c>
      <c r="D32" s="10">
        <f t="shared" si="1"/>
        <v>0</v>
      </c>
      <c r="E32" s="10">
        <f t="shared" ref="E32:E34" si="2">SUM(B32:D32)</f>
        <v>616374</v>
      </c>
    </row>
    <row r="33" spans="1:15" x14ac:dyDescent="0.3">
      <c r="A33" s="7" t="s">
        <v>151</v>
      </c>
      <c r="B33" s="10">
        <f t="shared" si="1"/>
        <v>1001120</v>
      </c>
      <c r="C33" s="10">
        <f t="shared" si="1"/>
        <v>0</v>
      </c>
      <c r="D33" s="10">
        <f t="shared" si="1"/>
        <v>0</v>
      </c>
      <c r="E33" s="10">
        <f t="shared" si="2"/>
        <v>1001120</v>
      </c>
      <c r="K33" s="25" t="s">
        <v>52</v>
      </c>
      <c r="L33" s="5"/>
      <c r="M33" s="5"/>
      <c r="N33" s="5"/>
      <c r="O33" s="5"/>
    </row>
    <row r="34" spans="1:15" x14ac:dyDescent="0.3">
      <c r="A34" s="7" t="s">
        <v>152</v>
      </c>
      <c r="B34" s="10">
        <f t="shared" si="1"/>
        <v>431128</v>
      </c>
      <c r="C34" s="10">
        <f t="shared" si="1"/>
        <v>0</v>
      </c>
      <c r="D34" s="10">
        <f t="shared" si="1"/>
        <v>0</v>
      </c>
      <c r="E34" s="10">
        <f t="shared" si="2"/>
        <v>431128</v>
      </c>
      <c r="K34" s="18" t="s">
        <v>2</v>
      </c>
      <c r="L34" s="19" t="s">
        <v>17</v>
      </c>
      <c r="M34" s="19" t="s">
        <v>18</v>
      </c>
      <c r="N34" s="19" t="s">
        <v>19</v>
      </c>
      <c r="O34" s="19" t="s">
        <v>20</v>
      </c>
    </row>
    <row r="35" spans="1:15" x14ac:dyDescent="0.3">
      <c r="A35" s="8" t="s">
        <v>21</v>
      </c>
      <c r="B35" s="11">
        <f>SUM(B29:B34)</f>
        <v>6190620.8181818184</v>
      </c>
      <c r="C35" s="11">
        <f>SUM(C29:C34)</f>
        <v>5703323.1818181816</v>
      </c>
      <c r="D35" s="11">
        <f>SUM(D29:D34)</f>
        <v>0</v>
      </c>
      <c r="E35" s="11">
        <f>SUM(E29:E34)</f>
        <v>11893944</v>
      </c>
      <c r="K35" s="16" t="s">
        <v>7</v>
      </c>
      <c r="L35" s="21">
        <v>2876584</v>
      </c>
      <c r="M35" s="21">
        <v>2439878</v>
      </c>
      <c r="N35" s="22">
        <v>0</v>
      </c>
      <c r="O35" s="21">
        <v>5316462</v>
      </c>
    </row>
    <row r="36" spans="1:15" x14ac:dyDescent="0.3">
      <c r="A36" s="5"/>
      <c r="B36" s="5"/>
      <c r="C36" s="5"/>
      <c r="D36" s="5"/>
      <c r="E36" s="5"/>
      <c r="K36" s="16" t="s">
        <v>8</v>
      </c>
      <c r="L36" s="22">
        <v>0</v>
      </c>
      <c r="M36" s="21">
        <v>3263445</v>
      </c>
      <c r="N36" s="21">
        <v>0</v>
      </c>
      <c r="O36" s="21">
        <v>3263445</v>
      </c>
    </row>
    <row r="37" spans="1:15" x14ac:dyDescent="0.3">
      <c r="A37" s="5"/>
      <c r="B37" s="5"/>
      <c r="C37" s="5"/>
      <c r="D37" s="29" t="s">
        <v>73</v>
      </c>
      <c r="E37" s="27">
        <f>E13-E35</f>
        <v>0</v>
      </c>
      <c r="K37" s="16" t="s">
        <v>9</v>
      </c>
      <c r="L37" s="21">
        <v>1265415</v>
      </c>
      <c r="M37" s="21">
        <v>0</v>
      </c>
      <c r="N37" s="21">
        <v>0</v>
      </c>
      <c r="O37" s="21">
        <v>1265415</v>
      </c>
    </row>
    <row r="38" spans="1:15" x14ac:dyDescent="0.3">
      <c r="A38" s="4" t="s">
        <v>22</v>
      </c>
      <c r="B38" s="5"/>
      <c r="C38" s="5"/>
      <c r="D38" s="5"/>
      <c r="E38" s="5"/>
      <c r="K38" s="16" t="s">
        <v>150</v>
      </c>
      <c r="L38" s="21">
        <v>616374</v>
      </c>
      <c r="M38" s="21">
        <v>0</v>
      </c>
      <c r="N38" s="21">
        <v>0</v>
      </c>
      <c r="O38" s="21">
        <v>616374</v>
      </c>
    </row>
    <row r="39" spans="1:15" x14ac:dyDescent="0.3">
      <c r="A39" s="6" t="s">
        <v>23</v>
      </c>
      <c r="B39" s="6" t="s">
        <v>24</v>
      </c>
      <c r="C39" s="6" t="s">
        <v>25</v>
      </c>
      <c r="D39" s="5"/>
      <c r="E39" s="5"/>
      <c r="K39" s="16" t="s">
        <v>151</v>
      </c>
      <c r="L39" s="21">
        <v>1001120</v>
      </c>
      <c r="M39" s="21">
        <v>0</v>
      </c>
      <c r="N39" s="21">
        <v>0</v>
      </c>
      <c r="O39" s="21">
        <v>1001120</v>
      </c>
    </row>
    <row r="40" spans="1:15" x14ac:dyDescent="0.3">
      <c r="A40" s="7" t="s">
        <v>26</v>
      </c>
      <c r="B40" s="28">
        <f>B24</f>
        <v>3492768.4368686872</v>
      </c>
      <c r="C40" s="39">
        <v>3500000</v>
      </c>
      <c r="D40" s="5"/>
      <c r="E40" s="5"/>
      <c r="K40" s="16" t="s">
        <v>152</v>
      </c>
      <c r="L40" s="21">
        <v>431128</v>
      </c>
      <c r="M40" s="21">
        <v>0</v>
      </c>
      <c r="N40" s="21">
        <v>0</v>
      </c>
      <c r="O40" s="21">
        <v>431128</v>
      </c>
    </row>
    <row r="41" spans="1:15" x14ac:dyDescent="0.3">
      <c r="A41" s="7" t="s">
        <v>27</v>
      </c>
      <c r="B41" s="10">
        <f>C24</f>
        <v>2500000</v>
      </c>
      <c r="C41" s="39">
        <v>2500000</v>
      </c>
      <c r="D41" s="5"/>
      <c r="E41" s="5"/>
      <c r="K41" s="16" t="s">
        <v>15</v>
      </c>
      <c r="L41" s="21">
        <v>6190621</v>
      </c>
      <c r="M41" s="21">
        <v>5703323</v>
      </c>
      <c r="N41" s="21">
        <v>0</v>
      </c>
      <c r="O41" s="21">
        <v>11893944</v>
      </c>
    </row>
    <row r="42" spans="1:15" x14ac:dyDescent="0.3">
      <c r="A42" s="7" t="s">
        <v>28</v>
      </c>
      <c r="B42" s="28">
        <f>D24</f>
        <v>0</v>
      </c>
      <c r="C42" s="39">
        <v>100000</v>
      </c>
      <c r="D42" s="5"/>
      <c r="E42" s="5"/>
    </row>
    <row r="43" spans="1:15" x14ac:dyDescent="0.3">
      <c r="A43" s="7" t="s">
        <v>29</v>
      </c>
      <c r="B43" s="10">
        <f>E24</f>
        <v>5992768.4368686872</v>
      </c>
      <c r="C43" s="10">
        <f>SUM(C40:C42)</f>
        <v>6100000</v>
      </c>
      <c r="D43" s="5"/>
      <c r="E43" s="5"/>
      <c r="K43" s="26" t="s">
        <v>35</v>
      </c>
    </row>
    <row r="44" spans="1:15" x14ac:dyDescent="0.3">
      <c r="A44" s="7" t="s">
        <v>30</v>
      </c>
      <c r="B44" s="10">
        <f t="shared" ref="B44:B49" si="3">E29</f>
        <v>5316462</v>
      </c>
      <c r="C44" s="10">
        <v>5316462</v>
      </c>
      <c r="D44" s="5"/>
      <c r="E44" s="5"/>
      <c r="K44" s="17" t="s">
        <v>23</v>
      </c>
      <c r="L44" s="17" t="s">
        <v>53</v>
      </c>
    </row>
    <row r="45" spans="1:15" x14ac:dyDescent="0.3">
      <c r="A45" s="7" t="s">
        <v>31</v>
      </c>
      <c r="B45" s="31">
        <f t="shared" si="3"/>
        <v>3263445</v>
      </c>
      <c r="C45" s="10">
        <v>3263445</v>
      </c>
      <c r="D45" s="5"/>
      <c r="E45" s="5"/>
      <c r="K45" s="20" t="s">
        <v>125</v>
      </c>
      <c r="L45" s="20" t="s">
        <v>55</v>
      </c>
    </row>
    <row r="46" spans="1:15" x14ac:dyDescent="0.3">
      <c r="A46" s="7" t="s">
        <v>32</v>
      </c>
      <c r="B46" s="10">
        <f t="shared" si="3"/>
        <v>1265415</v>
      </c>
      <c r="C46" s="10">
        <v>1265415</v>
      </c>
      <c r="D46" s="5"/>
      <c r="E46" s="5"/>
      <c r="K46" s="20" t="s">
        <v>58</v>
      </c>
      <c r="L46" s="20" t="s">
        <v>59</v>
      </c>
    </row>
    <row r="47" spans="1:15" x14ac:dyDescent="0.3">
      <c r="A47" s="7" t="s">
        <v>150</v>
      </c>
      <c r="B47" s="31">
        <f t="shared" si="3"/>
        <v>616374</v>
      </c>
      <c r="C47" s="10">
        <v>616374</v>
      </c>
      <c r="D47" s="5"/>
      <c r="E47" s="5"/>
      <c r="K47" s="20" t="s">
        <v>83</v>
      </c>
      <c r="L47" s="20" t="s">
        <v>59</v>
      </c>
    </row>
    <row r="48" spans="1:15" x14ac:dyDescent="0.3">
      <c r="A48" s="7" t="s">
        <v>151</v>
      </c>
      <c r="B48" s="31">
        <f t="shared" si="3"/>
        <v>1001120</v>
      </c>
      <c r="C48" s="10">
        <v>1001120</v>
      </c>
      <c r="K48" s="20" t="s">
        <v>84</v>
      </c>
      <c r="L48" s="20" t="s">
        <v>59</v>
      </c>
    </row>
    <row r="49" spans="1:12" x14ac:dyDescent="0.3">
      <c r="A49" s="7" t="s">
        <v>152</v>
      </c>
      <c r="B49" s="31">
        <f t="shared" si="3"/>
        <v>431128</v>
      </c>
      <c r="C49" s="10">
        <v>431128</v>
      </c>
      <c r="K49" s="20" t="s">
        <v>175</v>
      </c>
      <c r="L49" s="20" t="s">
        <v>59</v>
      </c>
    </row>
    <row r="50" spans="1:12" x14ac:dyDescent="0.3">
      <c r="A50" s="14"/>
      <c r="B50" s="12"/>
      <c r="K50" s="2" t="s">
        <v>176</v>
      </c>
      <c r="L50" s="2" t="s">
        <v>59</v>
      </c>
    </row>
    <row r="51" spans="1:12" x14ac:dyDescent="0.3">
      <c r="A51" s="14"/>
      <c r="B51" s="12"/>
      <c r="K51" s="2" t="s">
        <v>177</v>
      </c>
      <c r="L51" s="2" t="s">
        <v>59</v>
      </c>
    </row>
    <row r="52" spans="1:12" x14ac:dyDescent="0.3">
      <c r="A52" s="14"/>
      <c r="B52" s="12"/>
    </row>
    <row r="53" spans="1:12" x14ac:dyDescent="0.3">
      <c r="A53" s="14"/>
      <c r="B53" s="12"/>
      <c r="K53" s="25" t="s">
        <v>86</v>
      </c>
    </row>
    <row r="54" spans="1:12" x14ac:dyDescent="0.3">
      <c r="A54" s="14"/>
      <c r="B54" s="12"/>
      <c r="K54" s="25" t="s">
        <v>23</v>
      </c>
      <c r="L54" s="25" t="s">
        <v>53</v>
      </c>
    </row>
    <row r="55" spans="1:12" x14ac:dyDescent="0.3">
      <c r="A55" s="14"/>
      <c r="B55" s="12"/>
      <c r="K55" s="5" t="s">
        <v>178</v>
      </c>
      <c r="L55" s="5" t="s">
        <v>179</v>
      </c>
    </row>
    <row r="56" spans="1:12" x14ac:dyDescent="0.3">
      <c r="A56" s="14"/>
      <c r="B56" s="12"/>
      <c r="K56" s="2" t="s">
        <v>180</v>
      </c>
      <c r="L56" s="2" t="s">
        <v>181</v>
      </c>
    </row>
    <row r="57" spans="1:12" x14ac:dyDescent="0.3">
      <c r="A57" s="14"/>
      <c r="B57" s="12"/>
      <c r="K57" s="2" t="s">
        <v>29</v>
      </c>
      <c r="L57" s="2" t="s">
        <v>182</v>
      </c>
    </row>
    <row r="58" spans="1:12" x14ac:dyDescent="0.3">
      <c r="A58" s="14"/>
      <c r="B58" s="12"/>
    </row>
    <row r="59" spans="1:12" x14ac:dyDescent="0.3">
      <c r="A59" s="14"/>
      <c r="B59" s="12"/>
      <c r="K59" s="26" t="s">
        <v>60</v>
      </c>
    </row>
    <row r="60" spans="1:12" x14ac:dyDescent="0.3">
      <c r="K60" s="37" t="s">
        <v>61</v>
      </c>
    </row>
    <row r="61" spans="1:12" x14ac:dyDescent="0.3">
      <c r="K61" s="37" t="s">
        <v>62</v>
      </c>
    </row>
    <row r="62" spans="1:12" x14ac:dyDescent="0.3">
      <c r="K62" s="37" t="s">
        <v>63</v>
      </c>
    </row>
    <row r="63" spans="1:12" x14ac:dyDescent="0.3">
      <c r="K63" s="37" t="s">
        <v>64</v>
      </c>
    </row>
    <row r="64" spans="1:12" x14ac:dyDescent="0.3">
      <c r="K64" s="37" t="s">
        <v>63</v>
      </c>
    </row>
    <row r="65" spans="11:12" x14ac:dyDescent="0.3">
      <c r="K65" s="37" t="s">
        <v>66</v>
      </c>
    </row>
    <row r="66" spans="11:12" x14ac:dyDescent="0.3">
      <c r="K66" s="37" t="s">
        <v>63</v>
      </c>
    </row>
    <row r="67" spans="11:12" x14ac:dyDescent="0.3">
      <c r="K67" s="37" t="s">
        <v>67</v>
      </c>
    </row>
    <row r="68" spans="11:12" x14ac:dyDescent="0.3">
      <c r="K68" s="37" t="s">
        <v>63</v>
      </c>
    </row>
    <row r="69" spans="11:12" x14ac:dyDescent="0.3">
      <c r="K69" s="37" t="s">
        <v>69</v>
      </c>
    </row>
    <row r="70" spans="11:12" x14ac:dyDescent="0.3">
      <c r="K70" s="37" t="s">
        <v>63</v>
      </c>
    </row>
    <row r="71" spans="11:12" x14ac:dyDescent="0.3">
      <c r="K71" s="37" t="s">
        <v>70</v>
      </c>
    </row>
    <row r="72" spans="11:12" x14ac:dyDescent="0.3">
      <c r="K72" s="37" t="s">
        <v>63</v>
      </c>
    </row>
    <row r="73" spans="11:12" x14ac:dyDescent="0.3">
      <c r="K73" s="37" t="s">
        <v>183</v>
      </c>
    </row>
    <row r="74" spans="11:12" x14ac:dyDescent="0.3">
      <c r="K74" s="37" t="s">
        <v>63</v>
      </c>
      <c r="L74"/>
    </row>
    <row r="75" spans="11:12" x14ac:dyDescent="0.3">
      <c r="K75" s="37" t="s">
        <v>184</v>
      </c>
      <c r="L75"/>
    </row>
    <row r="76" spans="11:12" x14ac:dyDescent="0.3">
      <c r="K76" s="37" t="s">
        <v>63</v>
      </c>
      <c r="L76"/>
    </row>
    <row r="77" spans="11:12" x14ac:dyDescent="0.3">
      <c r="K77" s="37" t="s">
        <v>185</v>
      </c>
      <c r="L77"/>
    </row>
    <row r="78" spans="11:12" x14ac:dyDescent="0.3">
      <c r="K78" s="37" t="s">
        <v>63</v>
      </c>
      <c r="L78"/>
    </row>
    <row r="79" spans="11:12" x14ac:dyDescent="0.3">
      <c r="K79" s="37" t="s">
        <v>186</v>
      </c>
      <c r="L79"/>
    </row>
    <row r="80" spans="11:12" x14ac:dyDescent="0.3">
      <c r="K80" s="37" t="s">
        <v>63</v>
      </c>
      <c r="L80"/>
    </row>
    <row r="81" spans="11:12" x14ac:dyDescent="0.3">
      <c r="K81" s="37" t="s">
        <v>187</v>
      </c>
      <c r="L81"/>
    </row>
    <row r="82" spans="11:12" x14ac:dyDescent="0.3">
      <c r="K82" s="37" t="s">
        <v>63</v>
      </c>
      <c r="L82"/>
    </row>
    <row r="83" spans="11:12" x14ac:dyDescent="0.3">
      <c r="K83" s="37" t="s">
        <v>188</v>
      </c>
      <c r="L83"/>
    </row>
    <row r="84" spans="11:12" x14ac:dyDescent="0.3">
      <c r="K84" s="37" t="s">
        <v>63</v>
      </c>
      <c r="L84"/>
    </row>
    <row r="85" spans="11:12" x14ac:dyDescent="0.3">
      <c r="K85" s="37" t="s">
        <v>65</v>
      </c>
    </row>
    <row r="86" spans="11:12" x14ac:dyDescent="0.3">
      <c r="K86" s="37" t="s">
        <v>63</v>
      </c>
    </row>
    <row r="87" spans="11:12" x14ac:dyDescent="0.3">
      <c r="K87" s="37" t="s">
        <v>68</v>
      </c>
    </row>
    <row r="88" spans="11:12" x14ac:dyDescent="0.3">
      <c r="K88" s="37" t="s">
        <v>63</v>
      </c>
    </row>
    <row r="89" spans="11:12" x14ac:dyDescent="0.3">
      <c r="K89" s="37" t="s">
        <v>71</v>
      </c>
    </row>
    <row r="90" spans="11:12" x14ac:dyDescent="0.3">
      <c r="K90" s="37" t="s">
        <v>63</v>
      </c>
    </row>
    <row r="91" spans="11:12" x14ac:dyDescent="0.3">
      <c r="K91" s="37" t="s">
        <v>189</v>
      </c>
    </row>
    <row r="92" spans="11:12" x14ac:dyDescent="0.3">
      <c r="K92" s="37" t="s">
        <v>63</v>
      </c>
    </row>
    <row r="93" spans="11:12" x14ac:dyDescent="0.3">
      <c r="K93" s="37" t="s">
        <v>190</v>
      </c>
    </row>
    <row r="94" spans="11:12" x14ac:dyDescent="0.3">
      <c r="K94" s="37" t="s">
        <v>63</v>
      </c>
    </row>
    <row r="95" spans="11:12" x14ac:dyDescent="0.3">
      <c r="K95" s="37" t="s">
        <v>191</v>
      </c>
    </row>
  </sheetData>
  <scenarios current="0">
    <scenario name="S2 1.5M -&gt; 2.5M" count="9" user="Anil Jacob" comment="Created by Anil Jacob on 5/15/2026">
      <inputCells r="B18" val="2500000" numFmtId="3"/>
      <inputCells r="C18" val="131859.166666666" numFmtId="3"/>
      <inputCells r="D18" val="0" numFmtId="3"/>
      <inputCells r="B19" val="0" numFmtId="3"/>
      <inputCells r="C19" val="1483384.09090909" numFmtId="3"/>
      <inputCells r="D19" val="0" numFmtId="3"/>
      <inputCells r="B20" val="0" numFmtId="3"/>
      <inputCells r="C20" val="184756.742424243" numFmtId="3"/>
      <inputCells r="D20" val="700000" numFmtId="3"/>
    </scenario>
  </scenario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E0C4-0325-4B54-BCFB-257C2F06BBBF}">
  <sheetPr>
    <tabColor theme="6" tint="-0.249977111117893"/>
  </sheetPr>
  <dimension ref="A1:P95"/>
  <sheetViews>
    <sheetView tabSelected="1" zoomScale="80" zoomScaleNormal="80" workbookViewId="0"/>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161</v>
      </c>
      <c r="L4" s="24" t="s">
        <v>162</v>
      </c>
      <c r="M4" s="5"/>
    </row>
    <row r="5" spans="1:16" x14ac:dyDescent="0.3">
      <c r="A5" s="4" t="s">
        <v>1</v>
      </c>
      <c r="B5" s="5"/>
      <c r="C5" s="5"/>
      <c r="D5" s="5"/>
      <c r="E5" s="5"/>
      <c r="K5" s="18" t="s">
        <v>37</v>
      </c>
      <c r="L5" s="18" t="s">
        <v>38</v>
      </c>
      <c r="M5" s="5"/>
    </row>
    <row r="6" spans="1:16" x14ac:dyDescent="0.3">
      <c r="A6" s="6" t="s">
        <v>2</v>
      </c>
      <c r="B6" s="6" t="s">
        <v>3</v>
      </c>
      <c r="C6" s="6" t="s">
        <v>4</v>
      </c>
      <c r="D6" s="6" t="s">
        <v>5</v>
      </c>
      <c r="E6" s="6" t="s">
        <v>6</v>
      </c>
      <c r="K6" s="16" t="s">
        <v>34</v>
      </c>
      <c r="L6" s="16" t="s">
        <v>163</v>
      </c>
      <c r="M6" s="5"/>
    </row>
    <row r="7" spans="1:16" x14ac:dyDescent="0.3">
      <c r="A7" s="7" t="s">
        <v>7</v>
      </c>
      <c r="B7" s="9">
        <v>2</v>
      </c>
      <c r="C7" s="9">
        <v>2.4</v>
      </c>
      <c r="D7" s="9">
        <v>1.4</v>
      </c>
      <c r="E7" s="10">
        <v>5316462</v>
      </c>
      <c r="K7" s="16" t="s">
        <v>39</v>
      </c>
      <c r="L7" s="16" t="s">
        <v>164</v>
      </c>
      <c r="M7" s="5"/>
    </row>
    <row r="8" spans="1:16" x14ac:dyDescent="0.3">
      <c r="A8" s="7" t="s">
        <v>8</v>
      </c>
      <c r="B8" s="9">
        <v>1.7</v>
      </c>
      <c r="C8" s="9">
        <v>2.2000000000000002</v>
      </c>
      <c r="D8" s="9">
        <v>1.3</v>
      </c>
      <c r="E8" s="10">
        <v>3263445</v>
      </c>
      <c r="K8" s="16" t="s">
        <v>91</v>
      </c>
      <c r="L8" s="16" t="s">
        <v>165</v>
      </c>
      <c r="M8" s="5"/>
    </row>
    <row r="9" spans="1:16" x14ac:dyDescent="0.3">
      <c r="A9" s="7" t="s">
        <v>9</v>
      </c>
      <c r="B9" s="9">
        <v>1.5</v>
      </c>
      <c r="C9" s="9">
        <v>2</v>
      </c>
      <c r="D9" s="9">
        <v>1.2</v>
      </c>
      <c r="E9" s="10">
        <v>1265415</v>
      </c>
      <c r="K9" s="16" t="s">
        <v>41</v>
      </c>
      <c r="L9" s="32" t="s">
        <v>166</v>
      </c>
      <c r="M9" s="5"/>
    </row>
    <row r="10" spans="1:16" x14ac:dyDescent="0.3">
      <c r="A10" s="7" t="s">
        <v>150</v>
      </c>
      <c r="B10" s="9">
        <v>1.6</v>
      </c>
      <c r="C10" s="9">
        <v>2.1</v>
      </c>
      <c r="D10" s="9">
        <v>1.2</v>
      </c>
      <c r="E10" s="10">
        <v>616374</v>
      </c>
      <c r="K10" s="16" t="s">
        <v>167</v>
      </c>
      <c r="L10" s="32">
        <v>11893944</v>
      </c>
      <c r="M10" s="5"/>
      <c r="N10" s="5"/>
      <c r="O10" s="5"/>
      <c r="P10" s="5"/>
    </row>
    <row r="11" spans="1:16" x14ac:dyDescent="0.3">
      <c r="A11" s="7" t="s">
        <v>151</v>
      </c>
      <c r="B11" s="9">
        <v>1.8</v>
      </c>
      <c r="C11" s="9">
        <v>2</v>
      </c>
      <c r="D11" s="9">
        <v>1.3</v>
      </c>
      <c r="E11" s="10">
        <v>1001120</v>
      </c>
      <c r="K11" s="16" t="s">
        <v>168</v>
      </c>
      <c r="L11" s="32">
        <v>7000000</v>
      </c>
      <c r="M11" s="5"/>
    </row>
    <row r="12" spans="1:16" x14ac:dyDescent="0.3">
      <c r="A12" s="7" t="s">
        <v>152</v>
      </c>
      <c r="B12" s="9">
        <v>1.6</v>
      </c>
      <c r="C12" s="9">
        <v>2.1</v>
      </c>
      <c r="D12" s="9">
        <v>1.2</v>
      </c>
      <c r="E12" s="10">
        <v>431128</v>
      </c>
      <c r="K12" s="16" t="s">
        <v>142</v>
      </c>
      <c r="L12" s="32">
        <v>3500000</v>
      </c>
      <c r="M12" s="5"/>
    </row>
    <row r="13" spans="1:16" x14ac:dyDescent="0.3">
      <c r="A13" s="5"/>
      <c r="B13" s="5"/>
      <c r="C13" s="5"/>
      <c r="D13" s="29" t="s">
        <v>72</v>
      </c>
      <c r="E13" s="27">
        <f>SUM(E7:E12)</f>
        <v>11893944</v>
      </c>
      <c r="K13" s="16" t="s">
        <v>169</v>
      </c>
      <c r="L13" s="32">
        <v>2500000</v>
      </c>
      <c r="M13" s="5"/>
    </row>
    <row r="14" spans="1:16" x14ac:dyDescent="0.3">
      <c r="A14" s="5"/>
      <c r="B14" s="5"/>
      <c r="C14" s="5"/>
      <c r="D14" s="29"/>
      <c r="E14" s="27"/>
      <c r="K14" s="41" t="s">
        <v>170</v>
      </c>
      <c r="L14" s="42">
        <v>1000000</v>
      </c>
      <c r="M14" s="15"/>
    </row>
    <row r="15" spans="1:16" x14ac:dyDescent="0.3">
      <c r="A15" s="5"/>
      <c r="B15" s="5"/>
      <c r="C15" s="5"/>
      <c r="D15" s="5"/>
      <c r="E15" s="5"/>
      <c r="K15" s="41" t="s">
        <v>45</v>
      </c>
      <c r="L15" s="42">
        <v>11893944</v>
      </c>
      <c r="M15" s="15"/>
    </row>
    <row r="16" spans="1:16" x14ac:dyDescent="0.3">
      <c r="A16" s="4" t="s">
        <v>10</v>
      </c>
      <c r="B16" s="5"/>
      <c r="C16" s="5"/>
      <c r="D16" s="5"/>
      <c r="E16" s="5"/>
      <c r="K16" s="41" t="s">
        <v>46</v>
      </c>
      <c r="L16" s="41">
        <v>0</v>
      </c>
      <c r="M16" s="15"/>
    </row>
    <row r="17" spans="1:15" x14ac:dyDescent="0.3">
      <c r="A17" s="6" t="s">
        <v>2</v>
      </c>
      <c r="B17" s="6" t="s">
        <v>11</v>
      </c>
      <c r="C17" s="6" t="s">
        <v>12</v>
      </c>
      <c r="D17" s="6" t="s">
        <v>13</v>
      </c>
      <c r="E17" s="6" t="s">
        <v>14</v>
      </c>
      <c r="K17" s="41" t="s">
        <v>171</v>
      </c>
      <c r="L17" s="42">
        <v>5992768</v>
      </c>
      <c r="M17" s="15"/>
    </row>
    <row r="18" spans="1:15" x14ac:dyDescent="0.3">
      <c r="A18" s="7" t="s">
        <v>7</v>
      </c>
      <c r="B18" s="10">
        <v>1438291.9090909092</v>
      </c>
      <c r="C18" s="10">
        <v>1016615.9090909092</v>
      </c>
      <c r="D18" s="10">
        <v>0</v>
      </c>
      <c r="E18" s="10">
        <f>SUM(B18:D18)</f>
        <v>2454907.8181818184</v>
      </c>
      <c r="K18" s="41" t="s">
        <v>172</v>
      </c>
      <c r="L18" s="42">
        <v>1007232</v>
      </c>
      <c r="M18" s="15"/>
    </row>
    <row r="19" spans="1:15" x14ac:dyDescent="0.3">
      <c r="A19" s="7" t="s">
        <v>8</v>
      </c>
      <c r="B19" s="10">
        <v>0</v>
      </c>
      <c r="C19" s="10">
        <v>1483384.0909090908</v>
      </c>
      <c r="D19" s="10">
        <v>0</v>
      </c>
      <c r="E19" s="10">
        <f>SUM(B19:D19)</f>
        <v>1483384.0909090908</v>
      </c>
      <c r="K19" s="41" t="s">
        <v>122</v>
      </c>
      <c r="L19" s="41" t="s">
        <v>173</v>
      </c>
      <c r="M19" s="15"/>
    </row>
    <row r="20" spans="1:15" x14ac:dyDescent="0.3">
      <c r="A20" s="7" t="s">
        <v>9</v>
      </c>
      <c r="B20" s="10">
        <v>843610</v>
      </c>
      <c r="C20" s="10">
        <v>0</v>
      </c>
      <c r="D20" s="10">
        <v>0</v>
      </c>
      <c r="E20" s="10">
        <f>SUM(B20:D20)</f>
        <v>843610</v>
      </c>
      <c r="K20" s="33" t="s">
        <v>47</v>
      </c>
      <c r="L20" s="33" t="s">
        <v>174</v>
      </c>
      <c r="M20" s="15"/>
    </row>
    <row r="21" spans="1:15" x14ac:dyDescent="0.3">
      <c r="A21" s="7" t="s">
        <v>150</v>
      </c>
      <c r="B21" s="10">
        <v>385233.75</v>
      </c>
      <c r="C21" s="10">
        <v>0</v>
      </c>
      <c r="D21" s="10">
        <v>0</v>
      </c>
      <c r="E21" s="10">
        <f t="shared" ref="E21:E23" si="0">SUM(B21:D21)</f>
        <v>385233.75</v>
      </c>
    </row>
    <row r="22" spans="1:15" x14ac:dyDescent="0.3">
      <c r="A22" s="7" t="s">
        <v>151</v>
      </c>
      <c r="B22" s="10">
        <v>556177.77777777775</v>
      </c>
      <c r="C22" s="10">
        <v>0</v>
      </c>
      <c r="D22" s="10">
        <v>0</v>
      </c>
      <c r="E22" s="10">
        <f t="shared" si="0"/>
        <v>556177.77777777775</v>
      </c>
    </row>
    <row r="23" spans="1:15" x14ac:dyDescent="0.3">
      <c r="A23" s="7" t="s">
        <v>152</v>
      </c>
      <c r="B23" s="10">
        <v>269455</v>
      </c>
      <c r="C23" s="10">
        <v>0</v>
      </c>
      <c r="D23" s="10">
        <v>0</v>
      </c>
      <c r="E23" s="10">
        <f t="shared" si="0"/>
        <v>269455</v>
      </c>
      <c r="K23" s="25" t="s">
        <v>74</v>
      </c>
      <c r="L23" s="5"/>
      <c r="M23" s="5"/>
      <c r="N23" s="5"/>
      <c r="O23" s="5"/>
    </row>
    <row r="24" spans="1:15" x14ac:dyDescent="0.3">
      <c r="A24" s="8" t="s">
        <v>15</v>
      </c>
      <c r="B24" s="11">
        <f>SUM(B18:B23)</f>
        <v>3492768.4368686872</v>
      </c>
      <c r="C24" s="11">
        <f>SUM(C18:C23)</f>
        <v>2500000</v>
      </c>
      <c r="D24" s="11">
        <f>SUM(D18:D23)</f>
        <v>0</v>
      </c>
      <c r="E24" s="11">
        <f>SUM(E18:E23)</f>
        <v>5992768.4368686872</v>
      </c>
      <c r="K24" s="18" t="s">
        <v>2</v>
      </c>
      <c r="L24" s="19" t="s">
        <v>11</v>
      </c>
      <c r="M24" s="19" t="s">
        <v>12</v>
      </c>
      <c r="N24" s="19" t="s">
        <v>13</v>
      </c>
      <c r="O24" s="19" t="s">
        <v>29</v>
      </c>
    </row>
    <row r="25" spans="1:15" x14ac:dyDescent="0.3">
      <c r="A25" s="5"/>
      <c r="B25" s="5"/>
      <c r="C25" s="5"/>
      <c r="D25" s="5"/>
      <c r="E25" s="5"/>
      <c r="K25" s="16" t="s">
        <v>7</v>
      </c>
      <c r="L25" s="21">
        <v>1438292</v>
      </c>
      <c r="M25" s="21">
        <v>1016616</v>
      </c>
      <c r="N25" s="22">
        <v>0</v>
      </c>
      <c r="O25" s="21">
        <v>2454908</v>
      </c>
    </row>
    <row r="26" spans="1:15" x14ac:dyDescent="0.3">
      <c r="A26" s="5"/>
      <c r="B26" s="5"/>
      <c r="C26" s="5"/>
      <c r="D26" s="5"/>
      <c r="E26" s="5"/>
      <c r="K26" s="16" t="s">
        <v>8</v>
      </c>
      <c r="L26" s="22">
        <v>0</v>
      </c>
      <c r="M26" s="21">
        <v>1483384</v>
      </c>
      <c r="N26" s="21">
        <v>0</v>
      </c>
      <c r="O26" s="21">
        <v>1483384</v>
      </c>
    </row>
    <row r="27" spans="1:15" x14ac:dyDescent="0.3">
      <c r="A27" s="4" t="s">
        <v>16</v>
      </c>
      <c r="B27" s="5"/>
      <c r="C27" s="5"/>
      <c r="D27" s="5"/>
      <c r="E27" s="5"/>
      <c r="K27" s="16" t="s">
        <v>9</v>
      </c>
      <c r="L27" s="21">
        <v>843610</v>
      </c>
      <c r="M27" s="21">
        <v>0</v>
      </c>
      <c r="N27" s="21">
        <v>0</v>
      </c>
      <c r="O27" s="21">
        <v>843610</v>
      </c>
    </row>
    <row r="28" spans="1:15" x14ac:dyDescent="0.3">
      <c r="A28" s="6" t="s">
        <v>2</v>
      </c>
      <c r="B28" s="6" t="s">
        <v>17</v>
      </c>
      <c r="C28" s="6" t="s">
        <v>18</v>
      </c>
      <c r="D28" s="6" t="s">
        <v>19</v>
      </c>
      <c r="E28" s="6" t="s">
        <v>20</v>
      </c>
      <c r="K28" s="16" t="s">
        <v>150</v>
      </c>
      <c r="L28" s="21">
        <v>385234</v>
      </c>
      <c r="M28" s="21">
        <v>0</v>
      </c>
      <c r="N28" s="21">
        <v>0</v>
      </c>
      <c r="O28" s="21">
        <v>385234</v>
      </c>
    </row>
    <row r="29" spans="1:15" x14ac:dyDescent="0.3">
      <c r="A29" s="7" t="s">
        <v>7</v>
      </c>
      <c r="B29" s="10">
        <f t="shared" ref="B29:D34" si="1">B18*B7</f>
        <v>2876583.8181818184</v>
      </c>
      <c r="C29" s="10">
        <f t="shared" si="1"/>
        <v>2439878.1818181821</v>
      </c>
      <c r="D29" s="10">
        <f t="shared" si="1"/>
        <v>0</v>
      </c>
      <c r="E29" s="10">
        <f>SUM(B29:D29)</f>
        <v>5316462</v>
      </c>
      <c r="K29" s="16" t="s">
        <v>151</v>
      </c>
      <c r="L29" s="21">
        <v>556178</v>
      </c>
      <c r="M29" s="21">
        <v>0</v>
      </c>
      <c r="N29" s="21">
        <v>0</v>
      </c>
      <c r="O29" s="21">
        <v>556178</v>
      </c>
    </row>
    <row r="30" spans="1:15" x14ac:dyDescent="0.3">
      <c r="A30" s="7" t="s">
        <v>8</v>
      </c>
      <c r="B30" s="10">
        <f t="shared" si="1"/>
        <v>0</v>
      </c>
      <c r="C30" s="10">
        <f t="shared" si="1"/>
        <v>3263445</v>
      </c>
      <c r="D30" s="10">
        <f t="shared" si="1"/>
        <v>0</v>
      </c>
      <c r="E30" s="10">
        <f>SUM(B30:D30)</f>
        <v>3263445</v>
      </c>
      <c r="K30" s="16" t="s">
        <v>152</v>
      </c>
      <c r="L30" s="21">
        <v>269455</v>
      </c>
      <c r="M30" s="21">
        <v>0</v>
      </c>
      <c r="N30" s="21">
        <v>0</v>
      </c>
      <c r="O30" s="21">
        <v>269455</v>
      </c>
    </row>
    <row r="31" spans="1:15" x14ac:dyDescent="0.3">
      <c r="A31" s="7" t="s">
        <v>9</v>
      </c>
      <c r="B31" s="10">
        <f t="shared" si="1"/>
        <v>1265415</v>
      </c>
      <c r="C31" s="10">
        <f t="shared" si="1"/>
        <v>0</v>
      </c>
      <c r="D31" s="10">
        <f t="shared" si="1"/>
        <v>0</v>
      </c>
      <c r="E31" s="10">
        <f>SUM(B31:D31)</f>
        <v>1265415</v>
      </c>
      <c r="K31" s="16" t="s">
        <v>15</v>
      </c>
      <c r="L31" s="21">
        <v>3492768</v>
      </c>
      <c r="M31" s="21">
        <v>2500000</v>
      </c>
      <c r="N31" s="21">
        <v>0</v>
      </c>
      <c r="O31" s="21">
        <v>5992768</v>
      </c>
    </row>
    <row r="32" spans="1:15" x14ac:dyDescent="0.3">
      <c r="A32" s="7" t="s">
        <v>150</v>
      </c>
      <c r="B32" s="10">
        <f t="shared" si="1"/>
        <v>616374</v>
      </c>
      <c r="C32" s="10">
        <f t="shared" si="1"/>
        <v>0</v>
      </c>
      <c r="D32" s="10">
        <f t="shared" si="1"/>
        <v>0</v>
      </c>
      <c r="E32" s="10">
        <f t="shared" ref="E32:E34" si="2">SUM(B32:D32)</f>
        <v>616374</v>
      </c>
    </row>
    <row r="33" spans="1:15" x14ac:dyDescent="0.3">
      <c r="A33" s="7" t="s">
        <v>151</v>
      </c>
      <c r="B33" s="10">
        <f t="shared" si="1"/>
        <v>1001120</v>
      </c>
      <c r="C33" s="10">
        <f t="shared" si="1"/>
        <v>0</v>
      </c>
      <c r="D33" s="10">
        <f t="shared" si="1"/>
        <v>0</v>
      </c>
      <c r="E33" s="10">
        <f t="shared" si="2"/>
        <v>1001120</v>
      </c>
      <c r="K33" s="25" t="s">
        <v>52</v>
      </c>
      <c r="L33" s="5"/>
      <c r="M33" s="5"/>
      <c r="N33" s="5"/>
      <c r="O33" s="5"/>
    </row>
    <row r="34" spans="1:15" x14ac:dyDescent="0.3">
      <c r="A34" s="7" t="s">
        <v>152</v>
      </c>
      <c r="B34" s="10">
        <f t="shared" si="1"/>
        <v>431128</v>
      </c>
      <c r="C34" s="10">
        <f t="shared" si="1"/>
        <v>0</v>
      </c>
      <c r="D34" s="10">
        <f t="shared" si="1"/>
        <v>0</v>
      </c>
      <c r="E34" s="10">
        <f t="shared" si="2"/>
        <v>431128</v>
      </c>
      <c r="K34" s="18" t="s">
        <v>2</v>
      </c>
      <c r="L34" s="19" t="s">
        <v>17</v>
      </c>
      <c r="M34" s="19" t="s">
        <v>18</v>
      </c>
      <c r="N34" s="19" t="s">
        <v>19</v>
      </c>
      <c r="O34" s="19" t="s">
        <v>20</v>
      </c>
    </row>
    <row r="35" spans="1:15" x14ac:dyDescent="0.3">
      <c r="A35" s="8" t="s">
        <v>21</v>
      </c>
      <c r="B35" s="11">
        <f>SUM(B29:B34)</f>
        <v>6190620.8181818184</v>
      </c>
      <c r="C35" s="11">
        <f>SUM(C29:C34)</f>
        <v>5703323.1818181816</v>
      </c>
      <c r="D35" s="11">
        <f>SUM(D29:D34)</f>
        <v>0</v>
      </c>
      <c r="E35" s="11">
        <f>SUM(E29:E34)</f>
        <v>11893944</v>
      </c>
      <c r="K35" s="16" t="s">
        <v>7</v>
      </c>
      <c r="L35" s="21">
        <v>2876584</v>
      </c>
      <c r="M35" s="21">
        <v>2439878</v>
      </c>
      <c r="N35" s="22">
        <v>0</v>
      </c>
      <c r="O35" s="21">
        <v>5316462</v>
      </c>
    </row>
    <row r="36" spans="1:15" x14ac:dyDescent="0.3">
      <c r="A36" s="5"/>
      <c r="B36" s="5"/>
      <c r="C36" s="5"/>
      <c r="D36" s="5"/>
      <c r="E36" s="5"/>
      <c r="K36" s="16" t="s">
        <v>8</v>
      </c>
      <c r="L36" s="22">
        <v>0</v>
      </c>
      <c r="M36" s="21">
        <v>3263445</v>
      </c>
      <c r="N36" s="21">
        <v>0</v>
      </c>
      <c r="O36" s="21">
        <v>3263445</v>
      </c>
    </row>
    <row r="37" spans="1:15" x14ac:dyDescent="0.3">
      <c r="A37" s="5"/>
      <c r="B37" s="5"/>
      <c r="C37" s="5"/>
      <c r="D37" s="29" t="s">
        <v>73</v>
      </c>
      <c r="E37" s="27">
        <f>E13-E35</f>
        <v>0</v>
      </c>
      <c r="K37" s="16" t="s">
        <v>9</v>
      </c>
      <c r="L37" s="21">
        <v>1265415</v>
      </c>
      <c r="M37" s="21">
        <v>0</v>
      </c>
      <c r="N37" s="21">
        <v>0</v>
      </c>
      <c r="O37" s="21">
        <v>1265415</v>
      </c>
    </row>
    <row r="38" spans="1:15" x14ac:dyDescent="0.3">
      <c r="A38" s="4" t="s">
        <v>22</v>
      </c>
      <c r="B38" s="5"/>
      <c r="C38" s="5"/>
      <c r="D38" s="5"/>
      <c r="E38" s="5"/>
      <c r="K38" s="16" t="s">
        <v>150</v>
      </c>
      <c r="L38" s="21">
        <v>616374</v>
      </c>
      <c r="M38" s="21">
        <v>0</v>
      </c>
      <c r="N38" s="21">
        <v>0</v>
      </c>
      <c r="O38" s="21">
        <v>616374</v>
      </c>
    </row>
    <row r="39" spans="1:15" x14ac:dyDescent="0.3">
      <c r="A39" s="6" t="s">
        <v>23</v>
      </c>
      <c r="B39" s="6" t="s">
        <v>24</v>
      </c>
      <c r="C39" s="6" t="s">
        <v>25</v>
      </c>
      <c r="D39" s="5"/>
      <c r="E39" s="5"/>
      <c r="K39" s="16" t="s">
        <v>151</v>
      </c>
      <c r="L39" s="21">
        <v>1001120</v>
      </c>
      <c r="M39" s="21">
        <v>0</v>
      </c>
      <c r="N39" s="21">
        <v>0</v>
      </c>
      <c r="O39" s="21">
        <v>1001120</v>
      </c>
    </row>
    <row r="40" spans="1:15" x14ac:dyDescent="0.3">
      <c r="A40" s="7" t="s">
        <v>26</v>
      </c>
      <c r="B40" s="10">
        <f>B24</f>
        <v>3492768.4368686872</v>
      </c>
      <c r="C40" s="39">
        <v>3500000</v>
      </c>
      <c r="E40"/>
      <c r="K40" s="16" t="s">
        <v>152</v>
      </c>
      <c r="L40" s="21">
        <v>431128</v>
      </c>
      <c r="M40" s="21">
        <v>0</v>
      </c>
      <c r="N40" s="21">
        <v>0</v>
      </c>
      <c r="O40" s="21">
        <v>431128</v>
      </c>
    </row>
    <row r="41" spans="1:15" x14ac:dyDescent="0.3">
      <c r="A41" s="7" t="s">
        <v>27</v>
      </c>
      <c r="B41" s="10">
        <f>C24</f>
        <v>2500000</v>
      </c>
      <c r="C41" s="39">
        <v>2500000</v>
      </c>
      <c r="E41"/>
      <c r="K41" s="16" t="s">
        <v>15</v>
      </c>
      <c r="L41" s="21">
        <v>6190621</v>
      </c>
      <c r="M41" s="21">
        <v>5703323</v>
      </c>
      <c r="N41" s="21">
        <v>0</v>
      </c>
      <c r="O41" s="21">
        <v>11893944</v>
      </c>
    </row>
    <row r="42" spans="1:15" x14ac:dyDescent="0.3">
      <c r="A42" s="7" t="s">
        <v>28</v>
      </c>
      <c r="B42" s="10">
        <f>D24</f>
        <v>0</v>
      </c>
      <c r="C42" s="39">
        <v>1000000</v>
      </c>
      <c r="E42"/>
    </row>
    <row r="43" spans="1:15" x14ac:dyDescent="0.3">
      <c r="A43" s="7" t="s">
        <v>29</v>
      </c>
      <c r="B43" s="10">
        <f>E24</f>
        <v>5992768.4368686872</v>
      </c>
      <c r="C43" s="10">
        <f>SUM(C40:C42)</f>
        <v>7000000</v>
      </c>
      <c r="D43" s="5"/>
      <c r="E43" s="5"/>
      <c r="K43" s="26" t="s">
        <v>35</v>
      </c>
    </row>
    <row r="44" spans="1:15" x14ac:dyDescent="0.3">
      <c r="A44" s="7" t="s">
        <v>30</v>
      </c>
      <c r="B44" s="10">
        <f t="shared" ref="B44:B49" si="3">E29</f>
        <v>5316462</v>
      </c>
      <c r="C44" s="10">
        <v>5316462</v>
      </c>
      <c r="D44" s="5"/>
      <c r="E44" s="5"/>
      <c r="K44" s="17" t="s">
        <v>23</v>
      </c>
      <c r="L44" s="17" t="s">
        <v>53</v>
      </c>
    </row>
    <row r="45" spans="1:15" x14ac:dyDescent="0.3">
      <c r="A45" s="7" t="s">
        <v>31</v>
      </c>
      <c r="B45" s="31">
        <f t="shared" si="3"/>
        <v>3263445</v>
      </c>
      <c r="C45" s="10">
        <v>3263445</v>
      </c>
      <c r="D45" s="5"/>
      <c r="E45" s="5"/>
      <c r="K45" s="20" t="s">
        <v>125</v>
      </c>
      <c r="L45" s="20" t="s">
        <v>55</v>
      </c>
    </row>
    <row r="46" spans="1:15" x14ac:dyDescent="0.3">
      <c r="A46" s="7" t="s">
        <v>32</v>
      </c>
      <c r="B46" s="10">
        <f t="shared" si="3"/>
        <v>1265415</v>
      </c>
      <c r="C46" s="10">
        <v>1265415</v>
      </c>
      <c r="D46" s="5"/>
      <c r="E46" s="5"/>
      <c r="K46" s="20" t="s">
        <v>58</v>
      </c>
      <c r="L46" s="20" t="s">
        <v>59</v>
      </c>
    </row>
    <row r="47" spans="1:15" x14ac:dyDescent="0.3">
      <c r="A47" s="7" t="s">
        <v>150</v>
      </c>
      <c r="B47" s="31">
        <f t="shared" si="3"/>
        <v>616374</v>
      </c>
      <c r="C47" s="10">
        <v>616374</v>
      </c>
      <c r="D47" s="5"/>
      <c r="E47" s="5"/>
      <c r="K47" s="20" t="s">
        <v>83</v>
      </c>
      <c r="L47" s="20" t="s">
        <v>59</v>
      </c>
    </row>
    <row r="48" spans="1:15" x14ac:dyDescent="0.3">
      <c r="A48" s="7" t="s">
        <v>151</v>
      </c>
      <c r="B48" s="31">
        <f t="shared" si="3"/>
        <v>1001120</v>
      </c>
      <c r="C48" s="10">
        <v>1001120</v>
      </c>
      <c r="K48" s="20" t="s">
        <v>84</v>
      </c>
      <c r="L48" s="20" t="s">
        <v>59</v>
      </c>
    </row>
    <row r="49" spans="1:12" x14ac:dyDescent="0.3">
      <c r="A49" s="7" t="s">
        <v>152</v>
      </c>
      <c r="B49" s="31">
        <f t="shared" si="3"/>
        <v>431128</v>
      </c>
      <c r="C49" s="10">
        <v>431128</v>
      </c>
      <c r="K49" s="20" t="s">
        <v>175</v>
      </c>
      <c r="L49" s="20" t="s">
        <v>59</v>
      </c>
    </row>
    <row r="50" spans="1:12" x14ac:dyDescent="0.3">
      <c r="A50" s="14"/>
      <c r="B50" s="12"/>
      <c r="K50" s="2" t="s">
        <v>176</v>
      </c>
      <c r="L50" s="2" t="s">
        <v>59</v>
      </c>
    </row>
    <row r="51" spans="1:12" x14ac:dyDescent="0.3">
      <c r="A51" s="14"/>
      <c r="B51" s="12"/>
      <c r="K51" s="2" t="s">
        <v>177</v>
      </c>
      <c r="L51" s="2" t="s">
        <v>59</v>
      </c>
    </row>
    <row r="52" spans="1:12" x14ac:dyDescent="0.3">
      <c r="A52" s="16" t="s">
        <v>109</v>
      </c>
      <c r="B52" s="20" t="s">
        <v>20</v>
      </c>
      <c r="C52" s="5" t="s">
        <v>107</v>
      </c>
      <c r="D52" s="5" t="s">
        <v>115</v>
      </c>
      <c r="E52" s="5" t="s">
        <v>108</v>
      </c>
    </row>
    <row r="53" spans="1:12" x14ac:dyDescent="0.3">
      <c r="A53" s="16" t="s">
        <v>192</v>
      </c>
      <c r="B53" s="23">
        <v>2080000</v>
      </c>
      <c r="C53" s="23">
        <v>2080000</v>
      </c>
      <c r="D53" s="23">
        <v>9813944</v>
      </c>
      <c r="E53" s="38">
        <f>B53/1000000</f>
        <v>2.08</v>
      </c>
      <c r="G53" s="43">
        <v>2080000</v>
      </c>
      <c r="K53" s="25" t="s">
        <v>86</v>
      </c>
    </row>
    <row r="54" spans="1:12" x14ac:dyDescent="0.3">
      <c r="A54" s="16" t="s">
        <v>193</v>
      </c>
      <c r="B54" s="23">
        <v>4160000</v>
      </c>
      <c r="C54" s="23">
        <f>B54-B53</f>
        <v>2080000</v>
      </c>
      <c r="D54" s="23">
        <v>7733944</v>
      </c>
      <c r="E54" s="38">
        <f>B54/2000000</f>
        <v>2.08</v>
      </c>
      <c r="G54" s="43">
        <v>4160000</v>
      </c>
      <c r="K54" s="25" t="s">
        <v>23</v>
      </c>
      <c r="L54" s="25" t="s">
        <v>53</v>
      </c>
    </row>
    <row r="55" spans="1:12" x14ac:dyDescent="0.3">
      <c r="A55" s="16" t="s">
        <v>194</v>
      </c>
      <c r="B55" s="23">
        <v>6168038.4999999991</v>
      </c>
      <c r="C55" s="23">
        <f t="shared" ref="C55:C59" si="4">B55-B54</f>
        <v>2008038.4999999991</v>
      </c>
      <c r="D55" s="23">
        <v>5725905.5000000009</v>
      </c>
      <c r="E55" s="38">
        <f>B55/3000000</f>
        <v>2.056012833333333</v>
      </c>
      <c r="G55" s="43">
        <v>6168038.4999999991</v>
      </c>
      <c r="K55" s="5" t="s">
        <v>178</v>
      </c>
      <c r="L55" s="5" t="s">
        <v>179</v>
      </c>
    </row>
    <row r="56" spans="1:12" x14ac:dyDescent="0.3">
      <c r="A56" s="16" t="s">
        <v>195</v>
      </c>
      <c r="B56" s="23">
        <v>8070288.5</v>
      </c>
      <c r="C56" s="23">
        <f t="shared" si="4"/>
        <v>1902250.0000000009</v>
      </c>
      <c r="D56" s="23">
        <v>3823655.5</v>
      </c>
      <c r="E56" s="38">
        <f>B56/4000000</f>
        <v>2.017572125</v>
      </c>
      <c r="G56" s="43">
        <v>8070288.5</v>
      </c>
      <c r="K56" s="2" t="s">
        <v>180</v>
      </c>
      <c r="L56" s="2" t="s">
        <v>181</v>
      </c>
    </row>
    <row r="57" spans="1:12" x14ac:dyDescent="0.3">
      <c r="A57" s="16" t="s">
        <v>196</v>
      </c>
      <c r="B57" s="23">
        <v>9953149.4924242422</v>
      </c>
      <c r="C57" s="23">
        <f t="shared" si="4"/>
        <v>1882860.9924242422</v>
      </c>
      <c r="D57" s="23">
        <v>1940794.5075757578</v>
      </c>
      <c r="E57" s="38">
        <f>B57/5000000</f>
        <v>1.9906298984848485</v>
      </c>
      <c r="G57" s="43">
        <v>9953149.4924242422</v>
      </c>
      <c r="K57" s="2" t="s">
        <v>29</v>
      </c>
      <c r="L57" s="2" t="s">
        <v>182</v>
      </c>
    </row>
    <row r="58" spans="1:12" x14ac:dyDescent="0.3">
      <c r="A58" s="16" t="s">
        <v>197</v>
      </c>
      <c r="B58" s="23">
        <v>11709367.20923521</v>
      </c>
      <c r="C58" s="23">
        <f t="shared" si="4"/>
        <v>1756217.7168109678</v>
      </c>
      <c r="D58" s="23">
        <v>184576.79076479003</v>
      </c>
      <c r="E58" s="38">
        <f>B58/6000000</f>
        <v>1.9515612015392017</v>
      </c>
      <c r="G58" s="43">
        <v>11709367.20923521</v>
      </c>
    </row>
    <row r="59" spans="1:12" x14ac:dyDescent="0.3">
      <c r="A59" s="16" t="s">
        <v>198</v>
      </c>
      <c r="B59" s="23">
        <v>11893944</v>
      </c>
      <c r="C59" s="23">
        <f t="shared" si="4"/>
        <v>184576.79076479003</v>
      </c>
      <c r="D59" s="23">
        <v>0</v>
      </c>
      <c r="E59" s="38">
        <f>B59/7000000</f>
        <v>1.6991348571428571</v>
      </c>
      <c r="G59" s="43">
        <v>11893944</v>
      </c>
      <c r="K59" s="26" t="s">
        <v>60</v>
      </c>
    </row>
    <row r="60" spans="1:12" x14ac:dyDescent="0.3">
      <c r="K60" s="37" t="s">
        <v>61</v>
      </c>
    </row>
    <row r="61" spans="1:12" x14ac:dyDescent="0.3">
      <c r="K61" s="37" t="s">
        <v>62</v>
      </c>
    </row>
    <row r="62" spans="1:12" x14ac:dyDescent="0.3">
      <c r="K62" s="37" t="s">
        <v>63</v>
      </c>
    </row>
    <row r="63" spans="1:12" x14ac:dyDescent="0.3">
      <c r="K63" s="37" t="s">
        <v>64</v>
      </c>
    </row>
    <row r="64" spans="1:12" x14ac:dyDescent="0.3">
      <c r="K64" s="37" t="s">
        <v>63</v>
      </c>
    </row>
    <row r="65" spans="11:12" x14ac:dyDescent="0.3">
      <c r="K65" s="37" t="s">
        <v>66</v>
      </c>
    </row>
    <row r="66" spans="11:12" x14ac:dyDescent="0.3">
      <c r="K66" s="37" t="s">
        <v>63</v>
      </c>
    </row>
    <row r="67" spans="11:12" x14ac:dyDescent="0.3">
      <c r="K67" s="37" t="s">
        <v>67</v>
      </c>
    </row>
    <row r="68" spans="11:12" x14ac:dyDescent="0.3">
      <c r="K68" s="37" t="s">
        <v>63</v>
      </c>
    </row>
    <row r="69" spans="11:12" x14ac:dyDescent="0.3">
      <c r="K69" s="37" t="s">
        <v>69</v>
      </c>
    </row>
    <row r="70" spans="11:12" x14ac:dyDescent="0.3">
      <c r="K70" s="37" t="s">
        <v>63</v>
      </c>
    </row>
    <row r="71" spans="11:12" x14ac:dyDescent="0.3">
      <c r="K71" s="37" t="s">
        <v>70</v>
      </c>
    </row>
    <row r="72" spans="11:12" x14ac:dyDescent="0.3">
      <c r="K72" s="37" t="s">
        <v>63</v>
      </c>
    </row>
    <row r="73" spans="11:12" x14ac:dyDescent="0.3">
      <c r="K73" s="37" t="s">
        <v>183</v>
      </c>
    </row>
    <row r="74" spans="11:12" x14ac:dyDescent="0.3">
      <c r="K74" s="37" t="s">
        <v>63</v>
      </c>
      <c r="L74"/>
    </row>
    <row r="75" spans="11:12" x14ac:dyDescent="0.3">
      <c r="K75" s="37" t="s">
        <v>184</v>
      </c>
      <c r="L75"/>
    </row>
    <row r="76" spans="11:12" x14ac:dyDescent="0.3">
      <c r="K76" s="37" t="s">
        <v>63</v>
      </c>
      <c r="L76"/>
    </row>
    <row r="77" spans="11:12" x14ac:dyDescent="0.3">
      <c r="K77" s="37" t="s">
        <v>185</v>
      </c>
      <c r="L77"/>
    </row>
    <row r="78" spans="11:12" x14ac:dyDescent="0.3">
      <c r="K78" s="37" t="s">
        <v>63</v>
      </c>
      <c r="L78"/>
    </row>
    <row r="79" spans="11:12" x14ac:dyDescent="0.3">
      <c r="K79" s="37" t="s">
        <v>186</v>
      </c>
      <c r="L79"/>
    </row>
    <row r="80" spans="11:12" x14ac:dyDescent="0.3">
      <c r="K80" s="37" t="s">
        <v>63</v>
      </c>
      <c r="L80"/>
    </row>
    <row r="81" spans="11:12" x14ac:dyDescent="0.3">
      <c r="K81" s="37" t="s">
        <v>187</v>
      </c>
      <c r="L81"/>
    </row>
    <row r="82" spans="11:12" x14ac:dyDescent="0.3">
      <c r="K82" s="37" t="s">
        <v>63</v>
      </c>
      <c r="L82"/>
    </row>
    <row r="83" spans="11:12" x14ac:dyDescent="0.3">
      <c r="K83" s="37" t="s">
        <v>188</v>
      </c>
      <c r="L83"/>
    </row>
    <row r="84" spans="11:12" x14ac:dyDescent="0.3">
      <c r="K84" s="37" t="s">
        <v>63</v>
      </c>
      <c r="L84"/>
    </row>
    <row r="85" spans="11:12" x14ac:dyDescent="0.3">
      <c r="K85" s="37" t="s">
        <v>65</v>
      </c>
    </row>
    <row r="86" spans="11:12" x14ac:dyDescent="0.3">
      <c r="K86" s="37" t="s">
        <v>63</v>
      </c>
    </row>
    <row r="87" spans="11:12" x14ac:dyDescent="0.3">
      <c r="K87" s="37" t="s">
        <v>68</v>
      </c>
    </row>
    <row r="88" spans="11:12" x14ac:dyDescent="0.3">
      <c r="K88" s="37" t="s">
        <v>63</v>
      </c>
    </row>
    <row r="89" spans="11:12" x14ac:dyDescent="0.3">
      <c r="K89" s="37" t="s">
        <v>71</v>
      </c>
    </row>
    <row r="90" spans="11:12" x14ac:dyDescent="0.3">
      <c r="K90" s="37" t="s">
        <v>63</v>
      </c>
    </row>
    <row r="91" spans="11:12" x14ac:dyDescent="0.3">
      <c r="K91" s="37" t="s">
        <v>189</v>
      </c>
    </row>
    <row r="92" spans="11:12" x14ac:dyDescent="0.3">
      <c r="K92" s="37" t="s">
        <v>63</v>
      </c>
    </row>
    <row r="93" spans="11:12" x14ac:dyDescent="0.3">
      <c r="K93" s="37" t="s">
        <v>190</v>
      </c>
    </row>
    <row r="94" spans="11:12" x14ac:dyDescent="0.3">
      <c r="K94" s="37" t="s">
        <v>63</v>
      </c>
    </row>
    <row r="95" spans="11:12" x14ac:dyDescent="0.3">
      <c r="K95" s="37" t="s">
        <v>191</v>
      </c>
    </row>
  </sheetData>
  <scenarios current="0">
    <scenario name="S2 1.5M -&gt; 2.5M" count="9" user="Anil Jacob" comment="Created by Anil Jacob on 5/15/2026">
      <inputCells r="B18" val="2500000" numFmtId="3"/>
      <inputCells r="C18" val="131859.166666666" numFmtId="3"/>
      <inputCells r="D18" val="0" numFmtId="3"/>
      <inputCells r="B19" val="0" numFmtId="3"/>
      <inputCells r="C19" val="1483384.09090909" numFmtId="3"/>
      <inputCells r="D19" val="0" numFmtId="3"/>
      <inputCells r="B20" val="0" numFmtId="3"/>
      <inputCells r="C20" val="184756.742424243" numFmtId="3"/>
      <inputCells r="D20" val="700000" numFmtId="3"/>
    </scenario>
  </scenarios>
  <pageMargins left="0.75" right="0.75" top="1" bottom="1" header="0.5" footer="0.5"/>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4D958-2B87-4603-AA00-535EC5A153BB}">
  <sheetPr>
    <tabColor theme="6" tint="0.79998168889431442"/>
  </sheetPr>
  <dimension ref="A1:P65"/>
  <sheetViews>
    <sheetView topLeftCell="A6" zoomScale="80" zoomScaleNormal="80" workbookViewId="0">
      <selection activeCell="E15" sqref="E15"/>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88</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89</v>
      </c>
      <c r="M7" s="5"/>
      <c r="N7" s="5"/>
      <c r="O7" s="5"/>
    </row>
    <row r="8" spans="1:16" x14ac:dyDescent="0.3">
      <c r="A8" s="7" t="s">
        <v>8</v>
      </c>
      <c r="B8" s="9">
        <v>1.7</v>
      </c>
      <c r="C8" s="9">
        <v>2.2000000000000002</v>
      </c>
      <c r="D8" s="9">
        <v>1.3</v>
      </c>
      <c r="E8" s="10">
        <v>3263445</v>
      </c>
      <c r="K8" s="16" t="s">
        <v>39</v>
      </c>
      <c r="L8" s="16" t="s">
        <v>90</v>
      </c>
      <c r="M8" s="5"/>
      <c r="N8" s="5"/>
      <c r="O8" s="5"/>
    </row>
    <row r="9" spans="1:16" x14ac:dyDescent="0.3">
      <c r="A9" s="7" t="s">
        <v>9</v>
      </c>
      <c r="B9" s="9">
        <v>1.5</v>
      </c>
      <c r="C9" s="9">
        <v>2</v>
      </c>
      <c r="D9" s="9">
        <v>1.2</v>
      </c>
      <c r="E9" s="10">
        <v>1265415</v>
      </c>
      <c r="K9" s="16" t="s">
        <v>91</v>
      </c>
      <c r="L9" s="32" t="s">
        <v>92</v>
      </c>
      <c r="M9" s="5"/>
      <c r="N9" s="5"/>
      <c r="O9" s="5"/>
    </row>
    <row r="10" spans="1:16" x14ac:dyDescent="0.3">
      <c r="A10" s="5"/>
      <c r="B10" s="5"/>
      <c r="C10" s="5"/>
      <c r="D10" s="29" t="s">
        <v>72</v>
      </c>
      <c r="E10" s="27">
        <f>SUM(E7:E9)</f>
        <v>9845322</v>
      </c>
      <c r="K10" s="16" t="s">
        <v>41</v>
      </c>
      <c r="L10" s="32" t="s">
        <v>93</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94</v>
      </c>
      <c r="L12" s="32">
        <v>5000000</v>
      </c>
      <c r="M12" s="5"/>
      <c r="N12" s="5"/>
      <c r="O12" s="5"/>
    </row>
    <row r="13" spans="1:16" x14ac:dyDescent="0.3">
      <c r="A13" s="6" t="s">
        <v>2</v>
      </c>
      <c r="B13" s="6" t="s">
        <v>11</v>
      </c>
      <c r="C13" s="6" t="s">
        <v>12</v>
      </c>
      <c r="D13" s="6" t="s">
        <v>13</v>
      </c>
      <c r="E13" s="6" t="s">
        <v>14</v>
      </c>
      <c r="K13" s="16" t="s">
        <v>95</v>
      </c>
      <c r="L13" s="32" t="s">
        <v>96</v>
      </c>
      <c r="M13" s="5"/>
      <c r="N13" s="5"/>
      <c r="O13" s="5"/>
    </row>
    <row r="14" spans="1:16" x14ac:dyDescent="0.3">
      <c r="A14" s="7" t="s">
        <v>7</v>
      </c>
      <c r="B14" s="10">
        <v>0</v>
      </c>
      <c r="C14" s="10">
        <v>0</v>
      </c>
      <c r="D14" s="10">
        <v>3797472.8571428559</v>
      </c>
      <c r="E14" s="10">
        <f>SUM(B14:D14)</f>
        <v>3797472.8571428559</v>
      </c>
      <c r="K14" s="35" t="s">
        <v>97</v>
      </c>
      <c r="L14" s="35" t="s">
        <v>96</v>
      </c>
      <c r="M14" s="19"/>
      <c r="N14" s="5"/>
      <c r="O14" s="5"/>
    </row>
    <row r="15" spans="1:16" x14ac:dyDescent="0.3">
      <c r="A15" s="7" t="s">
        <v>8</v>
      </c>
      <c r="B15" s="10">
        <v>0</v>
      </c>
      <c r="C15" s="10">
        <v>0</v>
      </c>
      <c r="D15" s="10">
        <v>1202527.1428571441</v>
      </c>
      <c r="E15" s="10">
        <f>SUM(B15:D15)</f>
        <v>1202527.1428571441</v>
      </c>
      <c r="K15" s="5" t="s">
        <v>45</v>
      </c>
      <c r="L15" s="34">
        <v>6879747</v>
      </c>
      <c r="M15" s="5"/>
      <c r="N15" s="5"/>
      <c r="O15" s="5"/>
    </row>
    <row r="16" spans="1:16" x14ac:dyDescent="0.3">
      <c r="A16" s="7" t="s">
        <v>9</v>
      </c>
      <c r="B16" s="10">
        <v>0</v>
      </c>
      <c r="C16" s="10">
        <v>0</v>
      </c>
      <c r="D16" s="10">
        <v>0</v>
      </c>
      <c r="E16" s="10">
        <f>SUM(B16:D16)</f>
        <v>0</v>
      </c>
      <c r="K16" s="5" t="s">
        <v>46</v>
      </c>
      <c r="L16" s="34">
        <v>2965575</v>
      </c>
      <c r="M16" s="5"/>
      <c r="N16" s="5"/>
      <c r="O16" s="5"/>
    </row>
    <row r="17" spans="1:15" x14ac:dyDescent="0.3">
      <c r="A17" s="8" t="s">
        <v>15</v>
      </c>
      <c r="B17" s="11">
        <f>SUM(B14:B16)</f>
        <v>0</v>
      </c>
      <c r="C17" s="11">
        <f>SUM(C14:C16)</f>
        <v>0</v>
      </c>
      <c r="D17" s="11">
        <f>SUM(D14:D16)</f>
        <v>5000000</v>
      </c>
      <c r="E17" s="11">
        <f>SUM(E14:E16)</f>
        <v>5000000</v>
      </c>
      <c r="K17" s="5" t="s">
        <v>98</v>
      </c>
      <c r="L17" s="5" t="s">
        <v>99</v>
      </c>
      <c r="M17" s="5"/>
      <c r="N17" s="5"/>
      <c r="O17" s="5"/>
    </row>
    <row r="18" spans="1:15" x14ac:dyDescent="0.3">
      <c r="A18" s="5"/>
      <c r="B18" s="5"/>
      <c r="C18" s="5"/>
      <c r="D18" s="5"/>
      <c r="E18" s="5"/>
      <c r="K18" s="25" t="s">
        <v>47</v>
      </c>
      <c r="L18" s="25" t="s">
        <v>100</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0</v>
      </c>
      <c r="C22" s="10">
        <f t="shared" si="0"/>
        <v>0</v>
      </c>
      <c r="D22" s="10">
        <f t="shared" si="0"/>
        <v>5316461.9999999981</v>
      </c>
      <c r="E22" s="10">
        <f>SUM(B22:D22)</f>
        <v>5316461.9999999981</v>
      </c>
      <c r="K22" s="16" t="s">
        <v>7</v>
      </c>
      <c r="L22" s="21">
        <v>0</v>
      </c>
      <c r="M22" s="21">
        <v>0</v>
      </c>
      <c r="N22" s="21">
        <v>3797473</v>
      </c>
      <c r="O22" s="21">
        <v>3797473</v>
      </c>
    </row>
    <row r="23" spans="1:15" x14ac:dyDescent="0.3">
      <c r="A23" s="7" t="s">
        <v>8</v>
      </c>
      <c r="B23" s="10">
        <f t="shared" si="0"/>
        <v>0</v>
      </c>
      <c r="C23" s="10">
        <f t="shared" si="0"/>
        <v>0</v>
      </c>
      <c r="D23" s="10">
        <f t="shared" si="0"/>
        <v>1563285.2857142873</v>
      </c>
      <c r="E23" s="10">
        <f>SUM(B23:D23)</f>
        <v>1563285.2857142873</v>
      </c>
      <c r="K23" s="16" t="s">
        <v>8</v>
      </c>
      <c r="L23" s="22">
        <v>0</v>
      </c>
      <c r="M23" s="21">
        <v>0</v>
      </c>
      <c r="N23" s="21">
        <v>1202527</v>
      </c>
      <c r="O23" s="21">
        <v>1202527</v>
      </c>
    </row>
    <row r="24" spans="1:15" x14ac:dyDescent="0.3">
      <c r="A24" s="7" t="s">
        <v>9</v>
      </c>
      <c r="B24" s="10">
        <f t="shared" si="0"/>
        <v>0</v>
      </c>
      <c r="C24" s="10">
        <f t="shared" si="0"/>
        <v>0</v>
      </c>
      <c r="D24" s="10">
        <f t="shared" si="0"/>
        <v>0</v>
      </c>
      <c r="E24" s="10">
        <f>SUM(B24:D24)</f>
        <v>0</v>
      </c>
      <c r="K24" s="16" t="s">
        <v>9</v>
      </c>
      <c r="L24" s="22">
        <v>0</v>
      </c>
      <c r="M24" s="21">
        <v>0</v>
      </c>
      <c r="N24" s="21">
        <v>0</v>
      </c>
      <c r="O24" s="21">
        <v>0</v>
      </c>
    </row>
    <row r="25" spans="1:15" x14ac:dyDescent="0.3">
      <c r="A25" s="8" t="s">
        <v>21</v>
      </c>
      <c r="B25" s="11">
        <f>SUM(B22:B24)</f>
        <v>0</v>
      </c>
      <c r="C25" s="11">
        <f>SUM(C22:C24)</f>
        <v>0</v>
      </c>
      <c r="D25" s="11">
        <f>SUM(D22:D24)</f>
        <v>6879747.2857142854</v>
      </c>
      <c r="E25" s="11">
        <f>SUM(E22:E24)</f>
        <v>6879747.2857142854</v>
      </c>
      <c r="K25" s="16" t="s">
        <v>15</v>
      </c>
      <c r="L25" s="21">
        <v>0</v>
      </c>
      <c r="M25" s="21">
        <v>0</v>
      </c>
      <c r="N25" s="21">
        <v>5000000</v>
      </c>
      <c r="O25" s="21">
        <v>5000000</v>
      </c>
    </row>
    <row r="26" spans="1:15" x14ac:dyDescent="0.3">
      <c r="A26" s="5"/>
      <c r="B26" s="5"/>
      <c r="C26" s="5"/>
      <c r="D26" s="5"/>
      <c r="E26" s="5"/>
    </row>
    <row r="27" spans="1:15" x14ac:dyDescent="0.3">
      <c r="A27" s="5"/>
      <c r="B27" s="5"/>
      <c r="C27" s="5"/>
      <c r="D27" s="29" t="s">
        <v>73</v>
      </c>
      <c r="E27" s="27">
        <f>E10-E25</f>
        <v>2965574.7142857146</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0</v>
      </c>
      <c r="M29" s="21">
        <v>0</v>
      </c>
      <c r="N29" s="21">
        <v>5316462</v>
      </c>
      <c r="O29" s="21">
        <v>5316462</v>
      </c>
    </row>
    <row r="30" spans="1:15" x14ac:dyDescent="0.3">
      <c r="A30" s="7" t="s">
        <v>26</v>
      </c>
      <c r="B30" s="10">
        <f>B17</f>
        <v>0</v>
      </c>
      <c r="C30" s="31">
        <v>0</v>
      </c>
      <c r="D30" s="5"/>
      <c r="E30" s="5"/>
      <c r="K30" s="16" t="s">
        <v>8</v>
      </c>
      <c r="L30" s="22">
        <v>0</v>
      </c>
      <c r="M30" s="21">
        <v>0</v>
      </c>
      <c r="N30" s="21">
        <v>1563285</v>
      </c>
      <c r="O30" s="21">
        <v>1563285</v>
      </c>
    </row>
    <row r="31" spans="1:15" x14ac:dyDescent="0.3">
      <c r="A31" s="7" t="s">
        <v>27</v>
      </c>
      <c r="B31" s="10">
        <f>C17</f>
        <v>0</v>
      </c>
      <c r="C31" s="31">
        <v>0</v>
      </c>
      <c r="D31" s="5"/>
      <c r="E31" s="5"/>
      <c r="K31" s="16" t="s">
        <v>9</v>
      </c>
      <c r="L31" s="22">
        <v>0</v>
      </c>
      <c r="M31" s="21">
        <v>0</v>
      </c>
      <c r="N31" s="21">
        <v>0</v>
      </c>
      <c r="O31" s="21">
        <v>0</v>
      </c>
    </row>
    <row r="32" spans="1:15" x14ac:dyDescent="0.3">
      <c r="A32" s="7" t="s">
        <v>28</v>
      </c>
      <c r="B32" s="10">
        <f>D17</f>
        <v>5000000</v>
      </c>
      <c r="C32" s="39">
        <v>5000000</v>
      </c>
      <c r="D32" s="5"/>
      <c r="E32" s="5"/>
      <c r="K32" s="16" t="s">
        <v>15</v>
      </c>
      <c r="L32" s="21">
        <v>0</v>
      </c>
      <c r="M32" s="21">
        <v>0</v>
      </c>
      <c r="N32" s="21">
        <v>6879747</v>
      </c>
      <c r="O32" s="21">
        <v>6879747</v>
      </c>
    </row>
    <row r="33" spans="1:12" x14ac:dyDescent="0.3">
      <c r="A33" s="7" t="s">
        <v>29</v>
      </c>
      <c r="B33" s="10">
        <f>E17</f>
        <v>5000000</v>
      </c>
      <c r="C33" s="10">
        <f>SUM(C30:C32)</f>
        <v>5000000</v>
      </c>
      <c r="D33" s="5"/>
      <c r="E33" s="5"/>
    </row>
    <row r="34" spans="1:12" x14ac:dyDescent="0.3">
      <c r="A34" s="7" t="s">
        <v>30</v>
      </c>
      <c r="B34" s="30">
        <f>E22</f>
        <v>5316461.9999999981</v>
      </c>
      <c r="C34" s="10">
        <v>5316462</v>
      </c>
      <c r="D34" s="5"/>
      <c r="E34" s="5"/>
      <c r="K34" s="26" t="s">
        <v>35</v>
      </c>
    </row>
    <row r="35" spans="1:12" x14ac:dyDescent="0.3">
      <c r="A35" s="7" t="s">
        <v>31</v>
      </c>
      <c r="B35" s="30">
        <f>E23</f>
        <v>1563285.2857142873</v>
      </c>
      <c r="C35" s="10">
        <v>3263445</v>
      </c>
      <c r="D35" s="5"/>
      <c r="E35" s="5"/>
      <c r="K35" s="17" t="s">
        <v>23</v>
      </c>
      <c r="L35" s="17" t="s">
        <v>53</v>
      </c>
    </row>
    <row r="36" spans="1:12" x14ac:dyDescent="0.3">
      <c r="A36" s="7" t="s">
        <v>32</v>
      </c>
      <c r="B36" s="30">
        <f>E24</f>
        <v>0</v>
      </c>
      <c r="C36" s="10">
        <v>1265415</v>
      </c>
      <c r="D36" s="5"/>
      <c r="E36" s="5"/>
      <c r="K36" s="20" t="s">
        <v>28</v>
      </c>
      <c r="L36" s="20" t="s">
        <v>55</v>
      </c>
    </row>
    <row r="37" spans="1:12" x14ac:dyDescent="0.3">
      <c r="A37" s="5"/>
      <c r="B37" s="5"/>
      <c r="C37" s="5"/>
      <c r="D37" s="5"/>
      <c r="E37" s="5"/>
      <c r="K37" s="20" t="s">
        <v>29</v>
      </c>
      <c r="L37" s="20" t="s">
        <v>55</v>
      </c>
    </row>
    <row r="38" spans="1:12" x14ac:dyDescent="0.3">
      <c r="K38" s="20" t="s">
        <v>58</v>
      </c>
      <c r="L38" s="20" t="s">
        <v>59</v>
      </c>
    </row>
    <row r="39" spans="1:12" x14ac:dyDescent="0.3">
      <c r="A39" s="13"/>
      <c r="B39" s="13"/>
    </row>
    <row r="40" spans="1:12" x14ac:dyDescent="0.3">
      <c r="A40" s="14"/>
      <c r="B40" s="12"/>
      <c r="K40" s="25" t="s">
        <v>86</v>
      </c>
    </row>
    <row r="41" spans="1:12" x14ac:dyDescent="0.3">
      <c r="A41" s="16" t="s">
        <v>106</v>
      </c>
      <c r="B41" s="5" t="s">
        <v>20</v>
      </c>
      <c r="C41" s="5" t="s">
        <v>107</v>
      </c>
      <c r="D41" s="5" t="s">
        <v>108</v>
      </c>
      <c r="K41" s="25" t="s">
        <v>23</v>
      </c>
      <c r="L41" s="25" t="s">
        <v>53</v>
      </c>
    </row>
    <row r="42" spans="1:12" x14ac:dyDescent="0.3">
      <c r="A42" s="16" t="s">
        <v>153</v>
      </c>
      <c r="B42" s="34">
        <v>1400000</v>
      </c>
      <c r="C42" s="34">
        <v>1400000</v>
      </c>
      <c r="D42" s="38">
        <f>B42/1000000</f>
        <v>1.4</v>
      </c>
      <c r="K42" s="5" t="s">
        <v>83</v>
      </c>
      <c r="L42" s="5" t="s">
        <v>101</v>
      </c>
    </row>
    <row r="43" spans="1:12" x14ac:dyDescent="0.3">
      <c r="A43" s="16" t="s">
        <v>154</v>
      </c>
      <c r="B43" s="34">
        <v>2800000</v>
      </c>
      <c r="C43" s="34">
        <f t="shared" ref="C43:C49" si="1">B43-B42</f>
        <v>1400000</v>
      </c>
      <c r="D43" s="38">
        <f>B43/2000000</f>
        <v>1.4</v>
      </c>
      <c r="K43" s="5" t="s">
        <v>84</v>
      </c>
      <c r="L43" s="5" t="s">
        <v>102</v>
      </c>
    </row>
    <row r="44" spans="1:12" x14ac:dyDescent="0.3">
      <c r="A44" s="16" t="s">
        <v>155</v>
      </c>
      <c r="B44" s="34">
        <v>4200000</v>
      </c>
      <c r="C44" s="34">
        <f t="shared" si="1"/>
        <v>1400000</v>
      </c>
      <c r="D44" s="38">
        <f>B44/3000000</f>
        <v>1.4</v>
      </c>
      <c r="K44" s="5" t="s">
        <v>103</v>
      </c>
      <c r="L44" s="5" t="s">
        <v>104</v>
      </c>
    </row>
    <row r="45" spans="1:12" x14ac:dyDescent="0.3">
      <c r="A45" s="16" t="s">
        <v>156</v>
      </c>
      <c r="B45" s="34">
        <v>5579747.2857142854</v>
      </c>
      <c r="C45" s="34">
        <f t="shared" si="1"/>
        <v>1379747.2857142854</v>
      </c>
      <c r="D45" s="38">
        <f>B45/4000000</f>
        <v>1.3949368214285713</v>
      </c>
      <c r="K45" s="5" t="s">
        <v>105</v>
      </c>
      <c r="L45" s="5" t="s">
        <v>104</v>
      </c>
    </row>
    <row r="46" spans="1:12" x14ac:dyDescent="0.3">
      <c r="A46" s="16" t="s">
        <v>157</v>
      </c>
      <c r="B46" s="34">
        <v>6879747.2857142854</v>
      </c>
      <c r="C46" s="34">
        <f t="shared" si="1"/>
        <v>1300000</v>
      </c>
      <c r="D46" s="38">
        <f>B46/5000000</f>
        <v>1.375949457142857</v>
      </c>
      <c r="K46" s="5"/>
      <c r="L46" s="5"/>
    </row>
    <row r="47" spans="1:12" x14ac:dyDescent="0.3">
      <c r="A47" s="16" t="s">
        <v>158</v>
      </c>
      <c r="B47" s="34">
        <v>8179747.2857142854</v>
      </c>
      <c r="C47" s="34">
        <f t="shared" si="1"/>
        <v>1300000</v>
      </c>
      <c r="D47" s="38">
        <f>B47/6000000</f>
        <v>1.3632912142857143</v>
      </c>
      <c r="K47" s="36" t="s">
        <v>60</v>
      </c>
    </row>
    <row r="48" spans="1:12" x14ac:dyDescent="0.3">
      <c r="A48" s="16" t="s">
        <v>159</v>
      </c>
      <c r="B48" s="34">
        <v>9410528.8021978009</v>
      </c>
      <c r="C48" s="34">
        <f t="shared" si="1"/>
        <v>1230781.5164835155</v>
      </c>
      <c r="D48" s="38">
        <f>B48/7000000</f>
        <v>1.3443612574568287</v>
      </c>
      <c r="K48" s="37" t="s">
        <v>61</v>
      </c>
    </row>
    <row r="49" spans="1:12" x14ac:dyDescent="0.3">
      <c r="A49" s="16" t="s">
        <v>160</v>
      </c>
      <c r="B49" s="34">
        <v>9845321.9999999981</v>
      </c>
      <c r="C49" s="34">
        <f t="shared" si="1"/>
        <v>434793.19780219719</v>
      </c>
      <c r="D49" s="38">
        <f>B49/8000000</f>
        <v>1.2306652499999997</v>
      </c>
      <c r="K49" s="37"/>
    </row>
    <row r="50" spans="1:12" x14ac:dyDescent="0.3">
      <c r="K50" s="37" t="s">
        <v>65</v>
      </c>
    </row>
    <row r="51" spans="1:12" x14ac:dyDescent="0.3">
      <c r="K51" s="37"/>
    </row>
    <row r="52" spans="1:12" x14ac:dyDescent="0.3">
      <c r="K52" s="37" t="s">
        <v>63</v>
      </c>
    </row>
    <row r="53" spans="1:12" x14ac:dyDescent="0.3">
      <c r="K53" s="37" t="s">
        <v>68</v>
      </c>
    </row>
    <row r="54" spans="1:12" x14ac:dyDescent="0.3">
      <c r="K54" s="37"/>
    </row>
    <row r="55" spans="1:12" x14ac:dyDescent="0.3">
      <c r="K55" s="37" t="s">
        <v>63</v>
      </c>
    </row>
    <row r="56" spans="1:12" x14ac:dyDescent="0.3">
      <c r="K56" s="37" t="s">
        <v>71</v>
      </c>
    </row>
    <row r="57" spans="1:12" x14ac:dyDescent="0.3">
      <c r="K57" s="5"/>
    </row>
    <row r="58" spans="1:12" x14ac:dyDescent="0.3">
      <c r="K58" s="5"/>
    </row>
    <row r="59" spans="1:12" x14ac:dyDescent="0.3">
      <c r="K59" s="5"/>
    </row>
    <row r="60" spans="1:12" x14ac:dyDescent="0.3">
      <c r="K60" s="5"/>
    </row>
    <row r="61" spans="1:12" x14ac:dyDescent="0.3">
      <c r="K61" s="5"/>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6181BE-2E91-472E-BD3C-0D9D0EADC6E5}">
  <sheetPr>
    <tabColor theme="6" tint="0.79998168889431442"/>
  </sheetPr>
  <dimension ref="A1:P65"/>
  <sheetViews>
    <sheetView topLeftCell="A3" zoomScale="80" zoomScaleNormal="80" workbookViewId="0">
      <selection activeCell="L8" sqref="L8"/>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200</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116</v>
      </c>
      <c r="M7" s="5"/>
      <c r="N7" s="5"/>
      <c r="O7" s="5"/>
    </row>
    <row r="8" spans="1:16" x14ac:dyDescent="0.3">
      <c r="A8" s="7" t="s">
        <v>8</v>
      </c>
      <c r="B8" s="9">
        <v>1.7</v>
      </c>
      <c r="C8" s="9">
        <v>2.2000000000000002</v>
      </c>
      <c r="D8" s="9">
        <v>1.3</v>
      </c>
      <c r="E8" s="10">
        <v>3263445</v>
      </c>
      <c r="K8" s="16" t="s">
        <v>39</v>
      </c>
      <c r="L8" s="16" t="s">
        <v>117</v>
      </c>
      <c r="M8" s="5"/>
      <c r="N8" s="5"/>
      <c r="O8" s="5"/>
    </row>
    <row r="9" spans="1:16" x14ac:dyDescent="0.3">
      <c r="A9" s="7" t="s">
        <v>9</v>
      </c>
      <c r="B9" s="9">
        <v>1.5</v>
      </c>
      <c r="C9" s="9">
        <v>2</v>
      </c>
      <c r="D9" s="9">
        <v>1.2</v>
      </c>
      <c r="E9" s="10">
        <v>1265415</v>
      </c>
      <c r="K9" s="16" t="s">
        <v>91</v>
      </c>
      <c r="L9" s="32" t="s">
        <v>118</v>
      </c>
      <c r="M9" s="5"/>
      <c r="N9" s="5"/>
      <c r="O9" s="5"/>
    </row>
    <row r="10" spans="1:16" x14ac:dyDescent="0.3">
      <c r="A10" s="5"/>
      <c r="B10" s="5"/>
      <c r="C10" s="5"/>
      <c r="D10" s="29" t="s">
        <v>72</v>
      </c>
      <c r="E10" s="27">
        <f>SUM(E7:E9)</f>
        <v>9845322</v>
      </c>
      <c r="K10" s="16" t="s">
        <v>41</v>
      </c>
      <c r="L10" s="32" t="s">
        <v>119</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120</v>
      </c>
      <c r="L12" s="32">
        <v>4300000</v>
      </c>
      <c r="M12" s="5"/>
      <c r="N12" s="5"/>
      <c r="O12" s="5"/>
    </row>
    <row r="13" spans="1:16" x14ac:dyDescent="0.3">
      <c r="A13" s="6" t="s">
        <v>2</v>
      </c>
      <c r="B13" s="6" t="s">
        <v>11</v>
      </c>
      <c r="C13" s="6" t="s">
        <v>12</v>
      </c>
      <c r="D13" s="6" t="s">
        <v>13</v>
      </c>
      <c r="E13" s="6" t="s">
        <v>14</v>
      </c>
      <c r="K13" s="16" t="s">
        <v>95</v>
      </c>
      <c r="L13" s="32" t="s">
        <v>96</v>
      </c>
      <c r="M13" s="5"/>
      <c r="N13" s="5"/>
      <c r="O13" s="5"/>
    </row>
    <row r="14" spans="1:16" x14ac:dyDescent="0.3">
      <c r="A14" s="7" t="s">
        <v>7</v>
      </c>
      <c r="B14" s="10">
        <v>0</v>
      </c>
      <c r="C14" s="10">
        <v>2215192.5</v>
      </c>
      <c r="D14" s="10">
        <v>0</v>
      </c>
      <c r="E14" s="10">
        <f>SUM(B14:D14)</f>
        <v>2215192.5</v>
      </c>
      <c r="K14" s="35" t="s">
        <v>121</v>
      </c>
      <c r="L14" s="35" t="s">
        <v>96</v>
      </c>
      <c r="M14" s="19"/>
      <c r="N14" s="5"/>
      <c r="O14" s="5"/>
    </row>
    <row r="15" spans="1:16" x14ac:dyDescent="0.3">
      <c r="A15" s="7" t="s">
        <v>8</v>
      </c>
      <c r="B15" s="10">
        <v>0</v>
      </c>
      <c r="C15" s="10">
        <v>1483384.0909090908</v>
      </c>
      <c r="D15" s="10">
        <v>0</v>
      </c>
      <c r="E15" s="10">
        <f>SUM(B15:D15)</f>
        <v>1483384.0909090908</v>
      </c>
      <c r="K15" s="5" t="s">
        <v>45</v>
      </c>
      <c r="L15" s="34">
        <v>9782754</v>
      </c>
      <c r="M15" s="5"/>
      <c r="N15" s="5"/>
      <c r="O15" s="5"/>
    </row>
    <row r="16" spans="1:16" x14ac:dyDescent="0.3">
      <c r="A16" s="7" t="s">
        <v>9</v>
      </c>
      <c r="B16" s="10">
        <v>0</v>
      </c>
      <c r="C16" s="10">
        <v>601423.40909090918</v>
      </c>
      <c r="D16" s="10">
        <v>0</v>
      </c>
      <c r="E16" s="10">
        <f>SUM(B16:D16)</f>
        <v>601423.40909090918</v>
      </c>
      <c r="K16" s="5" t="s">
        <v>46</v>
      </c>
      <c r="L16" s="34">
        <v>62568</v>
      </c>
      <c r="M16" s="5"/>
      <c r="N16" s="5"/>
      <c r="O16" s="5"/>
    </row>
    <row r="17" spans="1:15" x14ac:dyDescent="0.3">
      <c r="A17" s="8" t="s">
        <v>15</v>
      </c>
      <c r="B17" s="11">
        <f>SUM(B14:B16)</f>
        <v>0</v>
      </c>
      <c r="C17" s="11">
        <f>SUM(C14:C16)</f>
        <v>4300000</v>
      </c>
      <c r="D17" s="11">
        <f>SUM(D14:D16)</f>
        <v>0</v>
      </c>
      <c r="E17" s="11">
        <f>SUM(E14:E16)</f>
        <v>4300000</v>
      </c>
      <c r="K17" s="5" t="s">
        <v>122</v>
      </c>
      <c r="L17" s="5" t="s">
        <v>123</v>
      </c>
      <c r="M17" s="5"/>
      <c r="N17" s="5"/>
      <c r="O17" s="5"/>
    </row>
    <row r="18" spans="1:15" x14ac:dyDescent="0.3">
      <c r="A18" s="5"/>
      <c r="B18" s="5"/>
      <c r="C18" s="5"/>
      <c r="D18" s="5"/>
      <c r="E18" s="5"/>
      <c r="K18" s="25" t="s">
        <v>47</v>
      </c>
      <c r="L18" s="25" t="s">
        <v>124</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0</v>
      </c>
      <c r="C22" s="10">
        <f t="shared" si="0"/>
        <v>5316462</v>
      </c>
      <c r="D22" s="10">
        <f t="shared" si="0"/>
        <v>0</v>
      </c>
      <c r="E22" s="10">
        <f>SUM(B22:D22)</f>
        <v>5316462</v>
      </c>
      <c r="K22" s="16" t="s">
        <v>7</v>
      </c>
      <c r="L22" s="21">
        <v>0</v>
      </c>
      <c r="M22" s="21">
        <v>2215193</v>
      </c>
      <c r="N22" s="21">
        <v>0</v>
      </c>
      <c r="O22" s="21">
        <v>2215193</v>
      </c>
    </row>
    <row r="23" spans="1:15" x14ac:dyDescent="0.3">
      <c r="A23" s="7" t="s">
        <v>8</v>
      </c>
      <c r="B23" s="10">
        <f t="shared" si="0"/>
        <v>0</v>
      </c>
      <c r="C23" s="10">
        <f t="shared" si="0"/>
        <v>3263445</v>
      </c>
      <c r="D23" s="10">
        <f t="shared" si="0"/>
        <v>0</v>
      </c>
      <c r="E23" s="10">
        <f>SUM(B23:D23)</f>
        <v>3263445</v>
      </c>
      <c r="K23" s="16" t="s">
        <v>8</v>
      </c>
      <c r="L23" s="22">
        <v>0</v>
      </c>
      <c r="M23" s="21">
        <v>1483384</v>
      </c>
      <c r="N23" s="21">
        <v>0</v>
      </c>
      <c r="O23" s="21">
        <v>1483384</v>
      </c>
    </row>
    <row r="24" spans="1:15" x14ac:dyDescent="0.3">
      <c r="A24" s="7" t="s">
        <v>9</v>
      </c>
      <c r="B24" s="10">
        <f t="shared" si="0"/>
        <v>0</v>
      </c>
      <c r="C24" s="10">
        <f t="shared" si="0"/>
        <v>1202846.8181818184</v>
      </c>
      <c r="D24" s="10">
        <f t="shared" si="0"/>
        <v>0</v>
      </c>
      <c r="E24" s="10">
        <f>SUM(B24:D24)</f>
        <v>1202846.8181818184</v>
      </c>
      <c r="K24" s="16" t="s">
        <v>9</v>
      </c>
      <c r="L24" s="22">
        <v>0</v>
      </c>
      <c r="M24" s="21">
        <v>601423</v>
      </c>
      <c r="N24" s="21">
        <v>0</v>
      </c>
      <c r="O24" s="21">
        <v>601423</v>
      </c>
    </row>
    <row r="25" spans="1:15" x14ac:dyDescent="0.3">
      <c r="A25" s="8" t="s">
        <v>21</v>
      </c>
      <c r="B25" s="11">
        <f>SUM(B22:B24)</f>
        <v>0</v>
      </c>
      <c r="C25" s="11">
        <f>SUM(C22:C24)</f>
        <v>9782753.8181818184</v>
      </c>
      <c r="D25" s="11">
        <f>SUM(D22:D24)</f>
        <v>0</v>
      </c>
      <c r="E25" s="11">
        <f>SUM(E22:E24)</f>
        <v>9782753.8181818184</v>
      </c>
      <c r="K25" s="16" t="s">
        <v>15</v>
      </c>
      <c r="L25" s="21">
        <v>0</v>
      </c>
      <c r="M25" s="21">
        <v>4300000</v>
      </c>
      <c r="N25" s="21">
        <v>0</v>
      </c>
      <c r="O25" s="21">
        <v>4300000</v>
      </c>
    </row>
    <row r="26" spans="1:15" x14ac:dyDescent="0.3">
      <c r="A26" s="5"/>
      <c r="B26" s="5"/>
      <c r="C26" s="5"/>
      <c r="D26" s="5"/>
      <c r="E26" s="5"/>
    </row>
    <row r="27" spans="1:15" x14ac:dyDescent="0.3">
      <c r="A27" s="5"/>
      <c r="B27" s="5"/>
      <c r="C27" s="5"/>
      <c r="D27" s="29" t="s">
        <v>73</v>
      </c>
      <c r="E27" s="27">
        <f>E10-E25</f>
        <v>62568.181818181649</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0</v>
      </c>
      <c r="M29" s="21">
        <v>5316462</v>
      </c>
      <c r="N29" s="21">
        <v>0</v>
      </c>
      <c r="O29" s="21">
        <v>5316462</v>
      </c>
    </row>
    <row r="30" spans="1:15" x14ac:dyDescent="0.3">
      <c r="A30" s="7" t="s">
        <v>26</v>
      </c>
      <c r="B30" s="10">
        <f>B17</f>
        <v>0</v>
      </c>
      <c r="C30" s="31">
        <v>0</v>
      </c>
      <c r="D30" s="5"/>
      <c r="E30" s="5"/>
      <c r="K30" s="16" t="s">
        <v>8</v>
      </c>
      <c r="L30" s="22">
        <v>0</v>
      </c>
      <c r="M30" s="21">
        <v>3263445</v>
      </c>
      <c r="N30" s="21">
        <v>0</v>
      </c>
      <c r="O30" s="21">
        <v>3263445</v>
      </c>
    </row>
    <row r="31" spans="1:15" x14ac:dyDescent="0.3">
      <c r="A31" s="7" t="s">
        <v>27</v>
      </c>
      <c r="B31" s="10">
        <f>C17</f>
        <v>4300000</v>
      </c>
      <c r="C31" s="39">
        <v>4300000</v>
      </c>
      <c r="D31" s="5"/>
      <c r="E31" s="5"/>
      <c r="K31" s="16" t="s">
        <v>9</v>
      </c>
      <c r="L31" s="22">
        <v>0</v>
      </c>
      <c r="M31" s="21">
        <v>1202847</v>
      </c>
      <c r="N31" s="21">
        <v>0</v>
      </c>
      <c r="O31" s="21">
        <v>1202847</v>
      </c>
    </row>
    <row r="32" spans="1:15" x14ac:dyDescent="0.3">
      <c r="A32" s="7" t="s">
        <v>28</v>
      </c>
      <c r="B32" s="10">
        <f>D17</f>
        <v>0</v>
      </c>
      <c r="C32" s="31">
        <v>0</v>
      </c>
      <c r="D32" s="5"/>
      <c r="E32" s="5"/>
      <c r="K32" s="16" t="s">
        <v>15</v>
      </c>
      <c r="L32" s="21">
        <v>0</v>
      </c>
      <c r="M32" s="21">
        <v>9782754</v>
      </c>
      <c r="N32" s="21">
        <v>0</v>
      </c>
      <c r="O32" s="21">
        <v>9782754</v>
      </c>
    </row>
    <row r="33" spans="1:12" x14ac:dyDescent="0.3">
      <c r="A33" s="7" t="s">
        <v>29</v>
      </c>
      <c r="B33" s="10">
        <f>E17</f>
        <v>4300000</v>
      </c>
      <c r="C33" s="10">
        <f>SUM(C30:C32)</f>
        <v>4300000</v>
      </c>
      <c r="D33" s="5"/>
      <c r="E33" s="5"/>
    </row>
    <row r="34" spans="1:12" x14ac:dyDescent="0.3">
      <c r="A34" s="7" t="s">
        <v>30</v>
      </c>
      <c r="B34" s="30">
        <f>E22</f>
        <v>5316462</v>
      </c>
      <c r="C34" s="10">
        <v>5316462</v>
      </c>
      <c r="D34" s="5"/>
      <c r="E34" s="5"/>
      <c r="K34" s="26" t="s">
        <v>35</v>
      </c>
    </row>
    <row r="35" spans="1:12" x14ac:dyDescent="0.3">
      <c r="A35" s="7" t="s">
        <v>31</v>
      </c>
      <c r="B35" s="30">
        <f>E23</f>
        <v>3263445</v>
      </c>
      <c r="C35" s="10">
        <v>3263445</v>
      </c>
      <c r="D35" s="5"/>
      <c r="E35" s="5"/>
      <c r="K35" s="17" t="s">
        <v>23</v>
      </c>
      <c r="L35" s="17" t="s">
        <v>53</v>
      </c>
    </row>
    <row r="36" spans="1:12" x14ac:dyDescent="0.3">
      <c r="A36" s="7" t="s">
        <v>32</v>
      </c>
      <c r="B36" s="30">
        <f>E24</f>
        <v>1202846.8181818184</v>
      </c>
      <c r="C36" s="10">
        <v>1265415</v>
      </c>
      <c r="D36" s="5"/>
      <c r="E36" s="5"/>
      <c r="K36" s="20" t="s">
        <v>125</v>
      </c>
      <c r="L36" s="20" t="s">
        <v>55</v>
      </c>
    </row>
    <row r="37" spans="1:12" x14ac:dyDescent="0.3">
      <c r="A37" s="5"/>
      <c r="B37" s="5"/>
      <c r="C37" s="5"/>
      <c r="D37" s="5"/>
      <c r="E37" s="5"/>
      <c r="K37" s="20" t="s">
        <v>29</v>
      </c>
      <c r="L37" s="20" t="s">
        <v>55</v>
      </c>
    </row>
    <row r="38" spans="1:12" x14ac:dyDescent="0.3">
      <c r="K38" s="20" t="s">
        <v>58</v>
      </c>
      <c r="L38" s="20" t="s">
        <v>59</v>
      </c>
    </row>
    <row r="39" spans="1:12" x14ac:dyDescent="0.3">
      <c r="A39" s="13"/>
      <c r="B39" s="13"/>
      <c r="K39" s="2" t="s">
        <v>83</v>
      </c>
      <c r="L39" s="2" t="s">
        <v>59</v>
      </c>
    </row>
    <row r="40" spans="1:12" x14ac:dyDescent="0.3">
      <c r="A40" s="14"/>
      <c r="B40" s="12"/>
    </row>
    <row r="41" spans="1:12" x14ac:dyDescent="0.3">
      <c r="A41" s="16" t="s">
        <v>109</v>
      </c>
      <c r="B41" s="5" t="s">
        <v>20</v>
      </c>
      <c r="C41" s="5" t="s">
        <v>107</v>
      </c>
      <c r="D41" s="5" t="s">
        <v>115</v>
      </c>
      <c r="E41" s="5" t="s">
        <v>108</v>
      </c>
      <c r="K41" s="25" t="s">
        <v>86</v>
      </c>
    </row>
    <row r="42" spans="1:12" x14ac:dyDescent="0.3">
      <c r="A42" s="16" t="s">
        <v>110</v>
      </c>
      <c r="B42" s="34">
        <v>2400000</v>
      </c>
      <c r="C42" s="34">
        <v>2400000</v>
      </c>
      <c r="D42" s="34">
        <v>7445322</v>
      </c>
      <c r="E42" s="38">
        <f>B42/1000000</f>
        <v>2.4</v>
      </c>
      <c r="K42" s="25" t="s">
        <v>23</v>
      </c>
      <c r="L42" s="25" t="s">
        <v>53</v>
      </c>
    </row>
    <row r="43" spans="1:12" x14ac:dyDescent="0.3">
      <c r="A43" s="16" t="s">
        <v>111</v>
      </c>
      <c r="B43" s="34">
        <v>4800000</v>
      </c>
      <c r="C43" s="34">
        <f>B43-B42</f>
        <v>2400000</v>
      </c>
      <c r="D43" s="34">
        <v>5045322</v>
      </c>
      <c r="E43" s="38">
        <f>B43/2000000</f>
        <v>2.4</v>
      </c>
      <c r="K43" s="5" t="s">
        <v>84</v>
      </c>
      <c r="L43" s="5" t="s">
        <v>126</v>
      </c>
    </row>
    <row r="44" spans="1:12" x14ac:dyDescent="0.3">
      <c r="A44" s="16" t="s">
        <v>112</v>
      </c>
      <c r="B44" s="34">
        <v>7043038.5</v>
      </c>
      <c r="C44" s="34">
        <f>B44-B43</f>
        <v>2243038.5</v>
      </c>
      <c r="D44" s="34">
        <v>2802283.5</v>
      </c>
      <c r="E44" s="38">
        <f>B44/3000000</f>
        <v>2.3476794999999999</v>
      </c>
      <c r="K44" s="5" t="s">
        <v>103</v>
      </c>
      <c r="L44" s="5" t="s">
        <v>104</v>
      </c>
    </row>
    <row r="45" spans="1:12" x14ac:dyDescent="0.3">
      <c r="A45" s="16" t="s">
        <v>113</v>
      </c>
      <c r="B45" s="34">
        <v>9182753.8181818184</v>
      </c>
      <c r="C45" s="34">
        <f>B45-B44</f>
        <v>2139715.3181818184</v>
      </c>
      <c r="D45" s="34">
        <v>662568.18181818165</v>
      </c>
      <c r="E45" s="38">
        <f>B45/5000000</f>
        <v>1.8365507636363636</v>
      </c>
      <c r="K45" s="5" t="s">
        <v>127</v>
      </c>
      <c r="L45" s="5" t="s">
        <v>104</v>
      </c>
    </row>
    <row r="46" spans="1:12" x14ac:dyDescent="0.3">
      <c r="A46" s="16" t="s">
        <v>114</v>
      </c>
      <c r="B46" s="34">
        <v>9845322</v>
      </c>
      <c r="C46" s="34">
        <f>B46-B45</f>
        <v>662568.18181818165</v>
      </c>
      <c r="D46" s="34">
        <v>0</v>
      </c>
      <c r="E46" s="38">
        <f>B46/6000000</f>
        <v>1.640887</v>
      </c>
      <c r="K46" s="5"/>
      <c r="L46" s="5"/>
    </row>
    <row r="47" spans="1:12" x14ac:dyDescent="0.3">
      <c r="A47" s="16"/>
      <c r="B47" s="40"/>
      <c r="C47" s="34"/>
      <c r="D47" s="34"/>
      <c r="E47" s="38"/>
      <c r="K47" s="36" t="s">
        <v>60</v>
      </c>
    </row>
    <row r="48" spans="1:12" x14ac:dyDescent="0.3">
      <c r="A48" s="16"/>
      <c r="B48" s="40"/>
      <c r="C48" s="34"/>
      <c r="D48" s="34"/>
      <c r="E48" s="38"/>
      <c r="K48" s="37" t="s">
        <v>61</v>
      </c>
    </row>
    <row r="49" spans="1:12" x14ac:dyDescent="0.3">
      <c r="A49" s="16"/>
      <c r="B49" s="40"/>
      <c r="C49" s="34"/>
      <c r="D49" s="34"/>
      <c r="E49" s="38"/>
      <c r="K49" s="37"/>
    </row>
    <row r="50" spans="1:12" x14ac:dyDescent="0.3">
      <c r="K50" s="37" t="s">
        <v>64</v>
      </c>
    </row>
    <row r="51" spans="1:12" x14ac:dyDescent="0.3">
      <c r="K51" s="37"/>
    </row>
    <row r="52" spans="1:12" x14ac:dyDescent="0.3">
      <c r="K52" s="37" t="s">
        <v>63</v>
      </c>
    </row>
    <row r="53" spans="1:12" x14ac:dyDescent="0.3">
      <c r="K53" s="37" t="s">
        <v>67</v>
      </c>
    </row>
    <row r="54" spans="1:12" x14ac:dyDescent="0.3">
      <c r="K54" s="37"/>
    </row>
    <row r="55" spans="1:12" x14ac:dyDescent="0.3">
      <c r="K55" s="37" t="s">
        <v>63</v>
      </c>
    </row>
    <row r="56" spans="1:12" x14ac:dyDescent="0.3">
      <c r="K56" s="37" t="s">
        <v>70</v>
      </c>
    </row>
    <row r="57" spans="1:12" x14ac:dyDescent="0.3">
      <c r="K57" s="5"/>
    </row>
    <row r="58" spans="1:12" x14ac:dyDescent="0.3">
      <c r="K58" s="5"/>
    </row>
    <row r="59" spans="1:12" x14ac:dyDescent="0.3">
      <c r="K59" s="5"/>
    </row>
    <row r="60" spans="1:12" x14ac:dyDescent="0.3">
      <c r="K60" s="5"/>
    </row>
    <row r="61" spans="1:12" x14ac:dyDescent="0.3">
      <c r="K61" s="5"/>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D2B2-FA1D-4ABB-A4AD-6A8D375989B6}">
  <sheetPr>
    <tabColor theme="6" tint="0.79998168889431442"/>
  </sheetPr>
  <dimension ref="A1:P65"/>
  <sheetViews>
    <sheetView topLeftCell="A3" zoomScale="80" zoomScaleNormal="80" workbookViewId="0">
      <selection activeCell="L8" sqref="L8"/>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128</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199</v>
      </c>
      <c r="M7" s="5"/>
      <c r="N7" s="5"/>
      <c r="O7" s="5"/>
    </row>
    <row r="8" spans="1:16" x14ac:dyDescent="0.3">
      <c r="A8" s="7" t="s">
        <v>8</v>
      </c>
      <c r="B8" s="9">
        <v>1.7</v>
      </c>
      <c r="C8" s="9">
        <v>2.2000000000000002</v>
      </c>
      <c r="D8" s="9">
        <v>1.3</v>
      </c>
      <c r="E8" s="10">
        <v>3263445</v>
      </c>
      <c r="K8" s="16" t="s">
        <v>39</v>
      </c>
      <c r="L8" s="16" t="s">
        <v>117</v>
      </c>
      <c r="M8" s="5"/>
      <c r="N8" s="5"/>
      <c r="O8" s="5"/>
    </row>
    <row r="9" spans="1:16" x14ac:dyDescent="0.3">
      <c r="A9" s="7" t="s">
        <v>9</v>
      </c>
      <c r="B9" s="9">
        <v>1.5</v>
      </c>
      <c r="C9" s="9">
        <v>2</v>
      </c>
      <c r="D9" s="9">
        <v>1.2</v>
      </c>
      <c r="E9" s="10">
        <v>1265415</v>
      </c>
      <c r="K9" s="16" t="s">
        <v>91</v>
      </c>
      <c r="L9" s="32" t="s">
        <v>118</v>
      </c>
      <c r="M9" s="5"/>
      <c r="N9" s="5"/>
      <c r="O9" s="5"/>
    </row>
    <row r="10" spans="1:16" x14ac:dyDescent="0.3">
      <c r="A10" s="5"/>
      <c r="B10" s="5"/>
      <c r="C10" s="5"/>
      <c r="D10" s="29" t="s">
        <v>72</v>
      </c>
      <c r="E10" s="27">
        <f>SUM(E7:E9)</f>
        <v>9845322</v>
      </c>
      <c r="K10" s="16" t="s">
        <v>41</v>
      </c>
      <c r="L10" s="32" t="s">
        <v>119</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120</v>
      </c>
      <c r="L12" s="32">
        <v>4300000</v>
      </c>
      <c r="M12" s="5"/>
      <c r="N12" s="5"/>
      <c r="O12" s="5"/>
    </row>
    <row r="13" spans="1:16" x14ac:dyDescent="0.3">
      <c r="A13" s="6" t="s">
        <v>2</v>
      </c>
      <c r="B13" s="6" t="s">
        <v>11</v>
      </c>
      <c r="C13" s="6" t="s">
        <v>12</v>
      </c>
      <c r="D13" s="6" t="s">
        <v>13</v>
      </c>
      <c r="E13" s="6" t="s">
        <v>14</v>
      </c>
      <c r="K13" s="16" t="s">
        <v>95</v>
      </c>
      <c r="L13" s="32" t="s">
        <v>96</v>
      </c>
      <c r="M13" s="5"/>
      <c r="N13" s="5"/>
      <c r="O13" s="5"/>
    </row>
    <row r="14" spans="1:16" x14ac:dyDescent="0.3">
      <c r="A14" s="7" t="s">
        <v>7</v>
      </c>
      <c r="B14" s="10">
        <v>0</v>
      </c>
      <c r="C14" s="10">
        <v>2215192.5</v>
      </c>
      <c r="D14" s="10">
        <v>0</v>
      </c>
      <c r="E14" s="10">
        <f>SUM(B14:D14)</f>
        <v>2215192.5</v>
      </c>
      <c r="K14" s="35" t="s">
        <v>121</v>
      </c>
      <c r="L14" s="35" t="s">
        <v>96</v>
      </c>
      <c r="M14" s="19"/>
      <c r="N14" s="5"/>
      <c r="O14" s="5"/>
    </row>
    <row r="15" spans="1:16" x14ac:dyDescent="0.3">
      <c r="A15" s="7" t="s">
        <v>8</v>
      </c>
      <c r="B15" s="10">
        <v>0</v>
      </c>
      <c r="C15" s="10">
        <v>1483384.0909090908</v>
      </c>
      <c r="D15" s="10">
        <v>0</v>
      </c>
      <c r="E15" s="10">
        <f>SUM(B15:D15)</f>
        <v>1483384.0909090908</v>
      </c>
      <c r="K15" s="5" t="s">
        <v>45</v>
      </c>
      <c r="L15" s="34">
        <v>9782754</v>
      </c>
      <c r="M15" s="5"/>
      <c r="N15" s="5"/>
      <c r="O15" s="5"/>
    </row>
    <row r="16" spans="1:16" x14ac:dyDescent="0.3">
      <c r="A16" s="7" t="s">
        <v>9</v>
      </c>
      <c r="B16" s="10">
        <v>0</v>
      </c>
      <c r="C16" s="10">
        <v>601423.40909090918</v>
      </c>
      <c r="D16" s="10">
        <v>0</v>
      </c>
      <c r="E16" s="10">
        <f>SUM(B16:D16)</f>
        <v>601423.40909090918</v>
      </c>
      <c r="K16" s="5" t="s">
        <v>46</v>
      </c>
      <c r="L16" s="34">
        <v>62568</v>
      </c>
      <c r="M16" s="5"/>
      <c r="N16" s="5"/>
      <c r="O16" s="5"/>
    </row>
    <row r="17" spans="1:15" x14ac:dyDescent="0.3">
      <c r="A17" s="8" t="s">
        <v>15</v>
      </c>
      <c r="B17" s="11">
        <f>SUM(B14:B16)</f>
        <v>0</v>
      </c>
      <c r="C17" s="11">
        <f>SUM(C14:C16)</f>
        <v>4300000</v>
      </c>
      <c r="D17" s="11">
        <f>SUM(D14:D16)</f>
        <v>0</v>
      </c>
      <c r="E17" s="11">
        <f>SUM(E14:E16)</f>
        <v>4300000</v>
      </c>
      <c r="K17" s="5" t="s">
        <v>122</v>
      </c>
      <c r="L17" s="5" t="s">
        <v>123</v>
      </c>
      <c r="M17" s="5"/>
      <c r="N17" s="5"/>
      <c r="O17" s="5"/>
    </row>
    <row r="18" spans="1:15" x14ac:dyDescent="0.3">
      <c r="A18" s="5"/>
      <c r="B18" s="5"/>
      <c r="C18" s="5"/>
      <c r="D18" s="5"/>
      <c r="E18" s="5"/>
      <c r="K18" s="25" t="s">
        <v>47</v>
      </c>
      <c r="L18" s="25" t="s">
        <v>124</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0</v>
      </c>
      <c r="C22" s="10">
        <f t="shared" si="0"/>
        <v>5316462</v>
      </c>
      <c r="D22" s="10">
        <f t="shared" si="0"/>
        <v>0</v>
      </c>
      <c r="E22" s="10">
        <f>SUM(B22:D22)</f>
        <v>5316462</v>
      </c>
      <c r="K22" s="16" t="s">
        <v>7</v>
      </c>
      <c r="L22" s="21">
        <v>0</v>
      </c>
      <c r="M22" s="21">
        <v>2215193</v>
      </c>
      <c r="N22" s="21">
        <v>0</v>
      </c>
      <c r="O22" s="21">
        <v>2215193</v>
      </c>
    </row>
    <row r="23" spans="1:15" x14ac:dyDescent="0.3">
      <c r="A23" s="7" t="s">
        <v>8</v>
      </c>
      <c r="B23" s="10">
        <f t="shared" si="0"/>
        <v>0</v>
      </c>
      <c r="C23" s="10">
        <f t="shared" si="0"/>
        <v>3263445</v>
      </c>
      <c r="D23" s="10">
        <f t="shared" si="0"/>
        <v>0</v>
      </c>
      <c r="E23" s="10">
        <f>SUM(B23:D23)</f>
        <v>3263445</v>
      </c>
      <c r="K23" s="16" t="s">
        <v>8</v>
      </c>
      <c r="L23" s="22">
        <v>0</v>
      </c>
      <c r="M23" s="21">
        <v>1483384</v>
      </c>
      <c r="N23" s="21">
        <v>0</v>
      </c>
      <c r="O23" s="21">
        <v>1483384</v>
      </c>
    </row>
    <row r="24" spans="1:15" x14ac:dyDescent="0.3">
      <c r="A24" s="7" t="s">
        <v>9</v>
      </c>
      <c r="B24" s="10">
        <f t="shared" si="0"/>
        <v>0</v>
      </c>
      <c r="C24" s="10">
        <f t="shared" si="0"/>
        <v>1202846.8181818184</v>
      </c>
      <c r="D24" s="10">
        <f t="shared" si="0"/>
        <v>0</v>
      </c>
      <c r="E24" s="10">
        <f>SUM(B24:D24)</f>
        <v>1202846.8181818184</v>
      </c>
      <c r="K24" s="16" t="s">
        <v>9</v>
      </c>
      <c r="L24" s="22">
        <v>0</v>
      </c>
      <c r="M24" s="21">
        <v>601423</v>
      </c>
      <c r="N24" s="21">
        <v>0</v>
      </c>
      <c r="O24" s="21">
        <v>601423</v>
      </c>
    </row>
    <row r="25" spans="1:15" x14ac:dyDescent="0.3">
      <c r="A25" s="8" t="s">
        <v>21</v>
      </c>
      <c r="B25" s="11">
        <f>SUM(B22:B24)</f>
        <v>0</v>
      </c>
      <c r="C25" s="11">
        <f>SUM(C22:C24)</f>
        <v>9782753.8181818184</v>
      </c>
      <c r="D25" s="11">
        <f>SUM(D22:D24)</f>
        <v>0</v>
      </c>
      <c r="E25" s="11">
        <f>SUM(E22:E24)</f>
        <v>9782753.8181818184</v>
      </c>
      <c r="K25" s="16" t="s">
        <v>15</v>
      </c>
      <c r="L25" s="21">
        <v>0</v>
      </c>
      <c r="M25" s="21">
        <v>4300000</v>
      </c>
      <c r="N25" s="21">
        <v>0</v>
      </c>
      <c r="O25" s="21">
        <v>4300000</v>
      </c>
    </row>
    <row r="26" spans="1:15" x14ac:dyDescent="0.3">
      <c r="A26" s="5"/>
      <c r="B26" s="5"/>
      <c r="C26" s="5"/>
      <c r="D26" s="5"/>
      <c r="E26" s="5"/>
    </row>
    <row r="27" spans="1:15" x14ac:dyDescent="0.3">
      <c r="A27" s="5"/>
      <c r="B27" s="5"/>
      <c r="C27" s="5"/>
      <c r="D27" s="29" t="s">
        <v>73</v>
      </c>
      <c r="E27" s="27">
        <f>E10-E25</f>
        <v>62568.181818181649</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0</v>
      </c>
      <c r="M29" s="21">
        <v>5316462</v>
      </c>
      <c r="N29" s="21">
        <v>0</v>
      </c>
      <c r="O29" s="21">
        <v>5316462</v>
      </c>
    </row>
    <row r="30" spans="1:15" x14ac:dyDescent="0.3">
      <c r="A30" s="7" t="s">
        <v>26</v>
      </c>
      <c r="B30" s="10">
        <f>B17</f>
        <v>0</v>
      </c>
      <c r="C30" s="31">
        <v>0</v>
      </c>
      <c r="D30" s="5"/>
      <c r="E30" s="5"/>
      <c r="K30" s="16" t="s">
        <v>8</v>
      </c>
      <c r="L30" s="22">
        <v>0</v>
      </c>
      <c r="M30" s="21">
        <v>3263445</v>
      </c>
      <c r="N30" s="21">
        <v>0</v>
      </c>
      <c r="O30" s="21">
        <v>3263445</v>
      </c>
    </row>
    <row r="31" spans="1:15" x14ac:dyDescent="0.3">
      <c r="A31" s="7" t="s">
        <v>27</v>
      </c>
      <c r="B31" s="10">
        <f>C17</f>
        <v>4300000</v>
      </c>
      <c r="C31" s="39">
        <v>4300000</v>
      </c>
      <c r="D31" s="5"/>
      <c r="E31" s="5"/>
      <c r="K31" s="16" t="s">
        <v>9</v>
      </c>
      <c r="L31" s="22">
        <v>0</v>
      </c>
      <c r="M31" s="21">
        <v>1202847</v>
      </c>
      <c r="N31" s="21">
        <v>0</v>
      </c>
      <c r="O31" s="21">
        <v>1202847</v>
      </c>
    </row>
    <row r="32" spans="1:15" x14ac:dyDescent="0.3">
      <c r="A32" s="7" t="s">
        <v>28</v>
      </c>
      <c r="B32" s="10">
        <f>D17</f>
        <v>0</v>
      </c>
      <c r="C32" s="31">
        <v>0</v>
      </c>
      <c r="D32" s="5"/>
      <c r="E32" s="5"/>
      <c r="K32" s="16" t="s">
        <v>15</v>
      </c>
      <c r="L32" s="21">
        <v>0</v>
      </c>
      <c r="M32" s="21">
        <v>9782754</v>
      </c>
      <c r="N32" s="21">
        <v>0</v>
      </c>
      <c r="O32" s="21">
        <v>9782754</v>
      </c>
    </row>
    <row r="33" spans="1:12" x14ac:dyDescent="0.3">
      <c r="A33" s="7" t="s">
        <v>29</v>
      </c>
      <c r="B33" s="10">
        <f>E17</f>
        <v>4300000</v>
      </c>
      <c r="C33" s="10">
        <f>SUM(C30:C32)</f>
        <v>4300000</v>
      </c>
      <c r="D33" s="5"/>
      <c r="E33" s="5"/>
    </row>
    <row r="34" spans="1:12" x14ac:dyDescent="0.3">
      <c r="A34" s="7" t="s">
        <v>30</v>
      </c>
      <c r="B34" s="30">
        <f>E22</f>
        <v>5316462</v>
      </c>
      <c r="C34" s="10">
        <v>5316462</v>
      </c>
      <c r="D34" s="5"/>
      <c r="E34" s="5"/>
      <c r="K34" s="26" t="s">
        <v>35</v>
      </c>
    </row>
    <row r="35" spans="1:12" x14ac:dyDescent="0.3">
      <c r="A35" s="7" t="s">
        <v>31</v>
      </c>
      <c r="B35" s="30">
        <f>E23</f>
        <v>3263445</v>
      </c>
      <c r="C35" s="10">
        <v>3263445</v>
      </c>
      <c r="D35" s="5"/>
      <c r="E35" s="5"/>
      <c r="K35" s="17" t="s">
        <v>23</v>
      </c>
      <c r="L35" s="17" t="s">
        <v>53</v>
      </c>
    </row>
    <row r="36" spans="1:12" x14ac:dyDescent="0.3">
      <c r="A36" s="7" t="s">
        <v>32</v>
      </c>
      <c r="B36" s="30">
        <f>E24</f>
        <v>1202846.8181818184</v>
      </c>
      <c r="C36" s="10">
        <v>1265415</v>
      </c>
      <c r="D36" s="5"/>
      <c r="E36" s="5"/>
      <c r="K36" s="20" t="s">
        <v>125</v>
      </c>
      <c r="L36" s="20" t="s">
        <v>55</v>
      </c>
    </row>
    <row r="37" spans="1:12" x14ac:dyDescent="0.3">
      <c r="A37" s="5"/>
      <c r="B37" s="5"/>
      <c r="C37" s="5"/>
      <c r="D37" s="5"/>
      <c r="E37" s="5"/>
      <c r="K37" s="20" t="s">
        <v>29</v>
      </c>
      <c r="L37" s="20" t="s">
        <v>55</v>
      </c>
    </row>
    <row r="38" spans="1:12" x14ac:dyDescent="0.3">
      <c r="K38" s="20" t="s">
        <v>58</v>
      </c>
      <c r="L38" s="20" t="s">
        <v>59</v>
      </c>
    </row>
    <row r="39" spans="1:12" x14ac:dyDescent="0.3">
      <c r="A39" s="13"/>
      <c r="B39" s="13"/>
      <c r="K39" s="2" t="s">
        <v>83</v>
      </c>
      <c r="L39" s="2" t="s">
        <v>59</v>
      </c>
    </row>
    <row r="40" spans="1:12" x14ac:dyDescent="0.3">
      <c r="A40" s="14"/>
      <c r="B40" s="12"/>
    </row>
    <row r="41" spans="1:12" x14ac:dyDescent="0.3">
      <c r="A41" s="16" t="s">
        <v>109</v>
      </c>
      <c r="B41" s="5" t="s">
        <v>20</v>
      </c>
      <c r="C41" s="5" t="s">
        <v>107</v>
      </c>
      <c r="D41" s="5" t="s">
        <v>115</v>
      </c>
      <c r="E41" s="5" t="s">
        <v>108</v>
      </c>
      <c r="K41" s="25" t="s">
        <v>86</v>
      </c>
    </row>
    <row r="42" spans="1:12" x14ac:dyDescent="0.3">
      <c r="A42" s="16" t="s">
        <v>110</v>
      </c>
      <c r="B42" s="34">
        <v>2400000</v>
      </c>
      <c r="C42" s="34">
        <v>2400000</v>
      </c>
      <c r="D42" s="34">
        <v>7445322</v>
      </c>
      <c r="E42" s="38">
        <f>B42/1000000</f>
        <v>2.4</v>
      </c>
      <c r="K42" s="25" t="s">
        <v>23</v>
      </c>
      <c r="L42" s="25" t="s">
        <v>53</v>
      </c>
    </row>
    <row r="43" spans="1:12" x14ac:dyDescent="0.3">
      <c r="A43" s="16" t="s">
        <v>111</v>
      </c>
      <c r="B43" s="34">
        <v>4800000</v>
      </c>
      <c r="C43" s="34">
        <f>B43-B42</f>
        <v>2400000</v>
      </c>
      <c r="D43" s="34">
        <v>5045322</v>
      </c>
      <c r="E43" s="38">
        <f>B43/2000000</f>
        <v>2.4</v>
      </c>
      <c r="K43" s="5" t="s">
        <v>84</v>
      </c>
      <c r="L43" s="5" t="s">
        <v>126</v>
      </c>
    </row>
    <row r="44" spans="1:12" x14ac:dyDescent="0.3">
      <c r="A44" s="16" t="s">
        <v>112</v>
      </c>
      <c r="B44" s="34">
        <v>7043038.5</v>
      </c>
      <c r="C44" s="34">
        <f>B44-B43</f>
        <v>2243038.5</v>
      </c>
      <c r="D44" s="34">
        <v>2802283.5</v>
      </c>
      <c r="E44" s="38">
        <f>B44/3000000</f>
        <v>2.3476794999999999</v>
      </c>
      <c r="K44" s="5" t="s">
        <v>103</v>
      </c>
      <c r="L44" s="5" t="s">
        <v>104</v>
      </c>
    </row>
    <row r="45" spans="1:12" x14ac:dyDescent="0.3">
      <c r="A45" s="16" t="s">
        <v>113</v>
      </c>
      <c r="B45" s="34">
        <v>9182753.8181818184</v>
      </c>
      <c r="C45" s="34">
        <f>B45-B44</f>
        <v>2139715.3181818184</v>
      </c>
      <c r="D45" s="34">
        <v>662568.18181818165</v>
      </c>
      <c r="E45" s="38">
        <f>B45/5000000</f>
        <v>1.8365507636363636</v>
      </c>
      <c r="K45" s="5" t="s">
        <v>127</v>
      </c>
      <c r="L45" s="5" t="s">
        <v>104</v>
      </c>
    </row>
    <row r="46" spans="1:12" x14ac:dyDescent="0.3">
      <c r="A46" s="16" t="s">
        <v>114</v>
      </c>
      <c r="B46" s="34">
        <v>9845322</v>
      </c>
      <c r="C46" s="34">
        <f>B46-B45</f>
        <v>662568.18181818165</v>
      </c>
      <c r="D46" s="34">
        <v>0</v>
      </c>
      <c r="E46" s="38">
        <f>B46/6000000</f>
        <v>1.640887</v>
      </c>
      <c r="K46" s="5"/>
      <c r="L46" s="5"/>
    </row>
    <row r="47" spans="1:12" x14ac:dyDescent="0.3">
      <c r="A47" s="16"/>
      <c r="B47" s="40"/>
      <c r="C47" s="34"/>
      <c r="D47" s="34"/>
      <c r="E47" s="38"/>
      <c r="K47" s="36" t="s">
        <v>60</v>
      </c>
    </row>
    <row r="48" spans="1:12" x14ac:dyDescent="0.3">
      <c r="A48" s="16"/>
      <c r="B48" s="40"/>
      <c r="C48" s="34"/>
      <c r="D48" s="34"/>
      <c r="E48" s="38"/>
      <c r="K48" s="37" t="s">
        <v>61</v>
      </c>
    </row>
    <row r="49" spans="1:12" x14ac:dyDescent="0.3">
      <c r="A49" s="16"/>
      <c r="B49" s="40"/>
      <c r="C49" s="34"/>
      <c r="D49" s="34"/>
      <c r="E49" s="38"/>
      <c r="K49" s="37"/>
    </row>
    <row r="50" spans="1:12" x14ac:dyDescent="0.3">
      <c r="K50" s="37" t="s">
        <v>64</v>
      </c>
    </row>
    <row r="51" spans="1:12" x14ac:dyDescent="0.3">
      <c r="K51" s="37"/>
    </row>
    <row r="52" spans="1:12" x14ac:dyDescent="0.3">
      <c r="K52" s="37" t="s">
        <v>63</v>
      </c>
    </row>
    <row r="53" spans="1:12" x14ac:dyDescent="0.3">
      <c r="K53" s="37" t="s">
        <v>67</v>
      </c>
    </row>
    <row r="54" spans="1:12" x14ac:dyDescent="0.3">
      <c r="K54" s="37"/>
    </row>
    <row r="55" spans="1:12" x14ac:dyDescent="0.3">
      <c r="K55" s="37" t="s">
        <v>63</v>
      </c>
    </row>
    <row r="56" spans="1:12" x14ac:dyDescent="0.3">
      <c r="K56" s="37" t="s">
        <v>70</v>
      </c>
    </row>
    <row r="57" spans="1:12" x14ac:dyDescent="0.3">
      <c r="K57" s="5"/>
    </row>
    <row r="58" spans="1:12" x14ac:dyDescent="0.3">
      <c r="K58" s="5"/>
    </row>
    <row r="59" spans="1:12" x14ac:dyDescent="0.3">
      <c r="K59" s="5"/>
    </row>
    <row r="60" spans="1:12" x14ac:dyDescent="0.3">
      <c r="K60" s="5"/>
    </row>
    <row r="61" spans="1:12" x14ac:dyDescent="0.3">
      <c r="K61" s="5"/>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165E8-D20D-45EC-B618-821657169966}">
  <sheetPr>
    <tabColor theme="6" tint="0.79998168889431442"/>
  </sheetPr>
  <dimension ref="A1:P65"/>
  <sheetViews>
    <sheetView topLeftCell="A3" zoomScale="80" zoomScaleNormal="80" workbookViewId="0">
      <selection activeCell="L5" sqref="L5"/>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141</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134</v>
      </c>
      <c r="M7" s="5"/>
      <c r="N7" s="5"/>
      <c r="O7" s="5"/>
    </row>
    <row r="8" spans="1:16" x14ac:dyDescent="0.3">
      <c r="A8" s="7" t="s">
        <v>8</v>
      </c>
      <c r="B8" s="9">
        <v>1.7</v>
      </c>
      <c r="C8" s="9">
        <v>2.2000000000000002</v>
      </c>
      <c r="D8" s="9">
        <v>1.3</v>
      </c>
      <c r="E8" s="10">
        <v>3263445</v>
      </c>
      <c r="K8" s="16" t="s">
        <v>39</v>
      </c>
      <c r="L8" s="16" t="s">
        <v>135</v>
      </c>
      <c r="M8" s="5"/>
      <c r="N8" s="5"/>
      <c r="O8" s="5"/>
    </row>
    <row r="9" spans="1:16" x14ac:dyDescent="0.3">
      <c r="A9" s="7" t="s">
        <v>9</v>
      </c>
      <c r="B9" s="9">
        <v>1.5</v>
      </c>
      <c r="C9" s="9">
        <v>2</v>
      </c>
      <c r="D9" s="9">
        <v>1.2</v>
      </c>
      <c r="E9" s="10">
        <v>1265415</v>
      </c>
      <c r="K9" s="16" t="s">
        <v>91</v>
      </c>
      <c r="L9" s="32" t="s">
        <v>136</v>
      </c>
      <c r="M9" s="5"/>
      <c r="N9" s="5"/>
      <c r="O9" s="5"/>
    </row>
    <row r="10" spans="1:16" x14ac:dyDescent="0.3">
      <c r="A10" s="5"/>
      <c r="B10" s="5"/>
      <c r="C10" s="5"/>
      <c r="D10" s="29" t="s">
        <v>72</v>
      </c>
      <c r="E10" s="27">
        <f>SUM(E7:E9)</f>
        <v>9845322</v>
      </c>
      <c r="K10" s="16" t="s">
        <v>41</v>
      </c>
      <c r="L10" s="32" t="s">
        <v>137</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138</v>
      </c>
      <c r="L12" s="32">
        <v>5500000</v>
      </c>
      <c r="M12" s="5"/>
      <c r="N12" s="5"/>
      <c r="O12" s="5"/>
    </row>
    <row r="13" spans="1:16" x14ac:dyDescent="0.3">
      <c r="A13" s="6" t="s">
        <v>2</v>
      </c>
      <c r="B13" s="6" t="s">
        <v>11</v>
      </c>
      <c r="C13" s="6" t="s">
        <v>12</v>
      </c>
      <c r="D13" s="6" t="s">
        <v>13</v>
      </c>
      <c r="E13" s="6" t="s">
        <v>14</v>
      </c>
      <c r="K13" s="16" t="s">
        <v>97</v>
      </c>
      <c r="L13" s="32" t="s">
        <v>96</v>
      </c>
      <c r="M13" s="5"/>
      <c r="N13" s="5"/>
      <c r="O13" s="5"/>
    </row>
    <row r="14" spans="1:16" x14ac:dyDescent="0.3">
      <c r="A14" s="7" t="s">
        <v>7</v>
      </c>
      <c r="B14" s="10">
        <v>2658231</v>
      </c>
      <c r="C14" s="10">
        <v>0</v>
      </c>
      <c r="D14" s="10">
        <v>0</v>
      </c>
      <c r="E14" s="10">
        <f>SUM(B14:D14)</f>
        <v>2658231</v>
      </c>
      <c r="K14" s="35" t="s">
        <v>121</v>
      </c>
      <c r="L14" s="35" t="s">
        <v>96</v>
      </c>
      <c r="M14" s="19"/>
      <c r="N14" s="5"/>
      <c r="O14" s="5"/>
    </row>
    <row r="15" spans="1:16" x14ac:dyDescent="0.3">
      <c r="A15" s="7" t="s">
        <v>8</v>
      </c>
      <c r="B15" s="10">
        <v>1919673.5294117648</v>
      </c>
      <c r="C15" s="10">
        <v>0</v>
      </c>
      <c r="D15" s="10">
        <v>0</v>
      </c>
      <c r="E15" s="10">
        <f>SUM(B15:D15)</f>
        <v>1919673.5294117648</v>
      </c>
      <c r="K15" s="5" t="s">
        <v>45</v>
      </c>
      <c r="L15" s="34">
        <v>9845322</v>
      </c>
      <c r="M15" s="5"/>
      <c r="N15" s="5"/>
      <c r="O15" s="5"/>
    </row>
    <row r="16" spans="1:16" x14ac:dyDescent="0.3">
      <c r="A16" s="7" t="s">
        <v>9</v>
      </c>
      <c r="B16" s="10">
        <v>843610</v>
      </c>
      <c r="C16" s="10">
        <v>0</v>
      </c>
      <c r="D16" s="10">
        <v>0</v>
      </c>
      <c r="E16" s="10">
        <f>SUM(B16:D16)</f>
        <v>843610</v>
      </c>
      <c r="K16" s="5" t="s">
        <v>46</v>
      </c>
      <c r="L16" s="34">
        <v>0</v>
      </c>
      <c r="M16" s="5"/>
      <c r="N16" s="5"/>
      <c r="O16" s="5"/>
    </row>
    <row r="17" spans="1:15" x14ac:dyDescent="0.3">
      <c r="A17" s="8" t="s">
        <v>15</v>
      </c>
      <c r="B17" s="11">
        <f>SUM(B14:B16)</f>
        <v>5421514.5294117648</v>
      </c>
      <c r="C17" s="11">
        <f>SUM(C14:C16)</f>
        <v>0</v>
      </c>
      <c r="D17" s="11">
        <f>SUM(D14:D16)</f>
        <v>0</v>
      </c>
      <c r="E17" s="11">
        <f>SUM(E14:E16)</f>
        <v>5421514.5294117648</v>
      </c>
      <c r="K17" s="5" t="s">
        <v>122</v>
      </c>
      <c r="L17" s="5" t="s">
        <v>139</v>
      </c>
      <c r="M17" s="5"/>
      <c r="N17" s="5"/>
      <c r="O17" s="5"/>
    </row>
    <row r="18" spans="1:15" x14ac:dyDescent="0.3">
      <c r="A18" s="5"/>
      <c r="B18" s="5"/>
      <c r="C18" s="5"/>
      <c r="D18" s="5"/>
      <c r="E18" s="5"/>
      <c r="K18" s="25" t="s">
        <v>47</v>
      </c>
      <c r="L18" s="25" t="s">
        <v>140</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5316462</v>
      </c>
      <c r="C22" s="10">
        <f t="shared" si="0"/>
        <v>0</v>
      </c>
      <c r="D22" s="10">
        <f t="shared" si="0"/>
        <v>0</v>
      </c>
      <c r="E22" s="10">
        <f>SUM(B22:D22)</f>
        <v>5316462</v>
      </c>
      <c r="K22" s="16" t="s">
        <v>7</v>
      </c>
      <c r="L22" s="21">
        <v>2658231</v>
      </c>
      <c r="M22" s="21">
        <v>0</v>
      </c>
      <c r="N22" s="21">
        <v>0</v>
      </c>
      <c r="O22" s="21">
        <v>2658231</v>
      </c>
    </row>
    <row r="23" spans="1:15" x14ac:dyDescent="0.3">
      <c r="A23" s="7" t="s">
        <v>8</v>
      </c>
      <c r="B23" s="10">
        <f t="shared" si="0"/>
        <v>3263445</v>
      </c>
      <c r="C23" s="10">
        <f t="shared" si="0"/>
        <v>0</v>
      </c>
      <c r="D23" s="10">
        <f t="shared" si="0"/>
        <v>0</v>
      </c>
      <c r="E23" s="10">
        <f>SUM(B23:D23)</f>
        <v>3263445</v>
      </c>
      <c r="K23" s="16" t="s">
        <v>8</v>
      </c>
      <c r="L23" s="21">
        <v>1919674</v>
      </c>
      <c r="M23" s="21">
        <v>0</v>
      </c>
      <c r="N23" s="21">
        <v>0</v>
      </c>
      <c r="O23" s="21">
        <v>1919674</v>
      </c>
    </row>
    <row r="24" spans="1:15" x14ac:dyDescent="0.3">
      <c r="A24" s="7" t="s">
        <v>9</v>
      </c>
      <c r="B24" s="10">
        <f t="shared" si="0"/>
        <v>1265415</v>
      </c>
      <c r="C24" s="10">
        <f t="shared" si="0"/>
        <v>0</v>
      </c>
      <c r="D24" s="10">
        <f t="shared" si="0"/>
        <v>0</v>
      </c>
      <c r="E24" s="10">
        <f>SUM(B24:D24)</f>
        <v>1265415</v>
      </c>
      <c r="K24" s="16" t="s">
        <v>9</v>
      </c>
      <c r="L24" s="21">
        <v>843610</v>
      </c>
      <c r="M24" s="21">
        <v>0</v>
      </c>
      <c r="N24" s="21">
        <v>0</v>
      </c>
      <c r="O24" s="21">
        <v>843610</v>
      </c>
    </row>
    <row r="25" spans="1:15" x14ac:dyDescent="0.3">
      <c r="A25" s="8" t="s">
        <v>21</v>
      </c>
      <c r="B25" s="11">
        <f>SUM(B22:B24)</f>
        <v>9845322</v>
      </c>
      <c r="C25" s="11">
        <f>SUM(C22:C24)</f>
        <v>0</v>
      </c>
      <c r="D25" s="11">
        <f>SUM(D22:D24)</f>
        <v>0</v>
      </c>
      <c r="E25" s="11">
        <f>SUM(E22:E24)</f>
        <v>9845322</v>
      </c>
      <c r="K25" s="16" t="s">
        <v>15</v>
      </c>
      <c r="L25" s="21">
        <v>5421515</v>
      </c>
      <c r="M25" s="21">
        <v>0</v>
      </c>
      <c r="N25" s="21">
        <v>0</v>
      </c>
      <c r="O25" s="21">
        <v>5421515</v>
      </c>
    </row>
    <row r="26" spans="1:15" x14ac:dyDescent="0.3">
      <c r="A26" s="5"/>
      <c r="B26" s="5"/>
      <c r="C26" s="5"/>
      <c r="D26" s="5"/>
      <c r="E26" s="5"/>
    </row>
    <row r="27" spans="1:15" x14ac:dyDescent="0.3">
      <c r="A27" s="5"/>
      <c r="B27" s="5"/>
      <c r="C27" s="5"/>
      <c r="D27" s="29" t="s">
        <v>73</v>
      </c>
      <c r="E27" s="27">
        <f>E10-E25</f>
        <v>0</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5316462</v>
      </c>
      <c r="M29" s="21">
        <v>0</v>
      </c>
      <c r="N29" s="21">
        <v>0</v>
      </c>
      <c r="O29" s="21">
        <v>5316462</v>
      </c>
    </row>
    <row r="30" spans="1:15" x14ac:dyDescent="0.3">
      <c r="A30" s="7" t="s">
        <v>26</v>
      </c>
      <c r="B30" s="10">
        <f>B17</f>
        <v>5421514.5294117648</v>
      </c>
      <c r="C30" s="39">
        <v>5500000</v>
      </c>
      <c r="D30" s="5"/>
      <c r="E30" s="5"/>
      <c r="K30" s="16" t="s">
        <v>8</v>
      </c>
      <c r="L30" s="21">
        <v>3263445</v>
      </c>
      <c r="M30" s="21">
        <v>0</v>
      </c>
      <c r="N30" s="21">
        <v>0</v>
      </c>
      <c r="O30" s="21">
        <v>3263445</v>
      </c>
    </row>
    <row r="31" spans="1:15" x14ac:dyDescent="0.3">
      <c r="A31" s="7" t="s">
        <v>27</v>
      </c>
      <c r="B31" s="10">
        <f>C17</f>
        <v>0</v>
      </c>
      <c r="C31" s="10">
        <v>0</v>
      </c>
      <c r="D31" s="5"/>
      <c r="E31" s="5"/>
      <c r="K31" s="16" t="s">
        <v>9</v>
      </c>
      <c r="L31" s="21">
        <v>1265415</v>
      </c>
      <c r="M31" s="21">
        <v>0</v>
      </c>
      <c r="N31" s="21">
        <v>0</v>
      </c>
      <c r="O31" s="21">
        <v>1265415</v>
      </c>
    </row>
    <row r="32" spans="1:15" x14ac:dyDescent="0.3">
      <c r="A32" s="7" t="s">
        <v>28</v>
      </c>
      <c r="B32" s="10">
        <f>D17</f>
        <v>0</v>
      </c>
      <c r="C32" s="31">
        <v>0</v>
      </c>
      <c r="D32" s="5"/>
      <c r="E32" s="5"/>
      <c r="K32" s="16" t="s">
        <v>15</v>
      </c>
      <c r="L32" s="21">
        <v>9845322</v>
      </c>
      <c r="M32" s="21">
        <v>0</v>
      </c>
      <c r="N32" s="21">
        <v>0</v>
      </c>
      <c r="O32" s="21">
        <v>9845322</v>
      </c>
    </row>
    <row r="33" spans="1:12" x14ac:dyDescent="0.3">
      <c r="A33" s="7" t="s">
        <v>29</v>
      </c>
      <c r="B33" s="10">
        <f>E17</f>
        <v>5421514.5294117648</v>
      </c>
      <c r="C33" s="10">
        <f>SUM(C30:C32)</f>
        <v>5500000</v>
      </c>
      <c r="D33" s="5"/>
      <c r="E33" s="5"/>
    </row>
    <row r="34" spans="1:12" x14ac:dyDescent="0.3">
      <c r="A34" s="7" t="s">
        <v>30</v>
      </c>
      <c r="B34" s="30">
        <f>E22</f>
        <v>5316462</v>
      </c>
      <c r="C34" s="10">
        <v>5316462</v>
      </c>
      <c r="D34" s="5"/>
      <c r="E34" s="5"/>
      <c r="K34" s="26" t="s">
        <v>35</v>
      </c>
    </row>
    <row r="35" spans="1:12" x14ac:dyDescent="0.3">
      <c r="A35" s="7" t="s">
        <v>31</v>
      </c>
      <c r="B35" s="30">
        <f>E23</f>
        <v>3263445</v>
      </c>
      <c r="C35" s="10">
        <v>3263445</v>
      </c>
      <c r="D35" s="5"/>
      <c r="E35" s="5"/>
      <c r="K35" s="18" t="s">
        <v>23</v>
      </c>
      <c r="L35" s="18" t="s">
        <v>53</v>
      </c>
    </row>
    <row r="36" spans="1:12" x14ac:dyDescent="0.3">
      <c r="A36" s="7" t="s">
        <v>32</v>
      </c>
      <c r="B36" s="30">
        <f>E24</f>
        <v>1265415</v>
      </c>
      <c r="C36" s="10">
        <v>1265415</v>
      </c>
      <c r="D36" s="5"/>
      <c r="E36" s="5"/>
      <c r="K36" s="16" t="s">
        <v>142</v>
      </c>
      <c r="L36" s="16" t="s">
        <v>143</v>
      </c>
    </row>
    <row r="37" spans="1:12" x14ac:dyDescent="0.3">
      <c r="A37" s="5"/>
      <c r="B37" s="5"/>
      <c r="C37" s="5"/>
      <c r="D37" s="5"/>
      <c r="E37" s="5"/>
      <c r="K37" s="16" t="s">
        <v>29</v>
      </c>
      <c r="L37" s="16" t="s">
        <v>143</v>
      </c>
    </row>
    <row r="38" spans="1:12" x14ac:dyDescent="0.3">
      <c r="K38" s="16" t="s">
        <v>58</v>
      </c>
      <c r="L38" s="16" t="s">
        <v>59</v>
      </c>
    </row>
    <row r="39" spans="1:12" x14ac:dyDescent="0.3">
      <c r="A39" s="13"/>
      <c r="B39" s="13"/>
      <c r="K39" s="2" t="s">
        <v>83</v>
      </c>
      <c r="L39" s="2" t="s">
        <v>59</v>
      </c>
    </row>
    <row r="40" spans="1:12" x14ac:dyDescent="0.3">
      <c r="A40" s="14"/>
      <c r="B40" s="12"/>
      <c r="K40" s="2" t="s">
        <v>84</v>
      </c>
      <c r="L40" s="2" t="s">
        <v>59</v>
      </c>
    </row>
    <row r="41" spans="1:12" x14ac:dyDescent="0.3">
      <c r="A41" s="16" t="s">
        <v>109</v>
      </c>
      <c r="B41" s="5" t="s">
        <v>20</v>
      </c>
      <c r="C41" s="5" t="s">
        <v>107</v>
      </c>
      <c r="D41" s="5" t="s">
        <v>115</v>
      </c>
      <c r="E41" s="5" t="s">
        <v>108</v>
      </c>
    </row>
    <row r="42" spans="1:12" x14ac:dyDescent="0.3">
      <c r="A42" s="16" t="s">
        <v>129</v>
      </c>
      <c r="B42" s="34">
        <v>2000000</v>
      </c>
      <c r="C42" s="34">
        <v>2000000</v>
      </c>
      <c r="D42" s="34">
        <v>7845322</v>
      </c>
      <c r="E42" s="38">
        <f>B42/1000000</f>
        <v>2</v>
      </c>
      <c r="K42" s="25" t="s">
        <v>86</v>
      </c>
    </row>
    <row r="43" spans="1:12" x14ac:dyDescent="0.3">
      <c r="A43" s="16" t="s">
        <v>130</v>
      </c>
      <c r="B43" s="34">
        <v>4000000</v>
      </c>
      <c r="C43" s="34">
        <f>B43-B42</f>
        <v>2000000</v>
      </c>
      <c r="D43" s="34">
        <v>5845322</v>
      </c>
      <c r="E43" s="38">
        <f>B43/2000000</f>
        <v>2</v>
      </c>
      <c r="K43" s="25" t="s">
        <v>23</v>
      </c>
      <c r="L43" s="25" t="s">
        <v>53</v>
      </c>
    </row>
    <row r="44" spans="1:12" x14ac:dyDescent="0.3">
      <c r="A44" s="16" t="s">
        <v>131</v>
      </c>
      <c r="B44" s="34">
        <v>5897469.2999999998</v>
      </c>
      <c r="C44" s="34">
        <f>B44-B43</f>
        <v>1897469.2999999998</v>
      </c>
      <c r="D44" s="34">
        <v>3947852.7</v>
      </c>
      <c r="E44" s="38">
        <f>B44/3000000</f>
        <v>1.9658230999999999</v>
      </c>
      <c r="K44" s="5" t="s">
        <v>105</v>
      </c>
      <c r="L44" s="5" t="s">
        <v>104</v>
      </c>
    </row>
    <row r="45" spans="1:12" x14ac:dyDescent="0.3">
      <c r="A45" s="16" t="s">
        <v>133</v>
      </c>
      <c r="B45" s="34">
        <v>7597469.2999999998</v>
      </c>
      <c r="C45" s="34">
        <f>B45-B44</f>
        <v>1700000</v>
      </c>
      <c r="D45" s="34">
        <v>2247852.7000000002</v>
      </c>
      <c r="E45" s="38">
        <f>B45/5000000</f>
        <v>1.5194938599999999</v>
      </c>
      <c r="K45" s="5" t="s">
        <v>127</v>
      </c>
      <c r="L45" s="5" t="s">
        <v>104</v>
      </c>
    </row>
    <row r="46" spans="1:12" x14ac:dyDescent="0.3">
      <c r="A46" s="16" t="s">
        <v>132</v>
      </c>
      <c r="B46" s="34">
        <v>9213050.2058823518</v>
      </c>
      <c r="C46" s="34">
        <f>B46-B45</f>
        <v>1615580.905882352</v>
      </c>
      <c r="D46" s="34">
        <v>632271.79411764815</v>
      </c>
      <c r="E46" s="38">
        <f>B46/6000000</f>
        <v>1.5355083676470587</v>
      </c>
      <c r="K46" s="5" t="s">
        <v>144</v>
      </c>
      <c r="L46" s="5" t="s">
        <v>145</v>
      </c>
    </row>
    <row r="47" spans="1:12" x14ac:dyDescent="0.3">
      <c r="A47" s="16"/>
      <c r="B47" s="40"/>
      <c r="C47" s="34"/>
      <c r="D47" s="34"/>
      <c r="E47" s="38"/>
      <c r="K47" s="5"/>
      <c r="L47" s="5"/>
    </row>
    <row r="48" spans="1:12" x14ac:dyDescent="0.3">
      <c r="A48" s="16"/>
      <c r="B48" s="40"/>
      <c r="C48" s="34"/>
      <c r="D48" s="34"/>
      <c r="E48" s="38"/>
      <c r="K48" s="36" t="s">
        <v>60</v>
      </c>
    </row>
    <row r="49" spans="1:12" x14ac:dyDescent="0.3">
      <c r="A49" s="16"/>
      <c r="B49" s="40"/>
      <c r="C49" s="34"/>
      <c r="D49" s="34"/>
      <c r="E49" s="38"/>
      <c r="K49" s="37" t="s">
        <v>61</v>
      </c>
    </row>
    <row r="50" spans="1:12" x14ac:dyDescent="0.3">
      <c r="K50" s="37"/>
    </row>
    <row r="51" spans="1:12" x14ac:dyDescent="0.3">
      <c r="K51" s="37" t="s">
        <v>62</v>
      </c>
    </row>
    <row r="52" spans="1:12" x14ac:dyDescent="0.3">
      <c r="K52" s="37"/>
    </row>
    <row r="53" spans="1:12" x14ac:dyDescent="0.3">
      <c r="K53" s="37" t="s">
        <v>63</v>
      </c>
    </row>
    <row r="54" spans="1:12" x14ac:dyDescent="0.3">
      <c r="K54" s="37" t="s">
        <v>66</v>
      </c>
    </row>
    <row r="55" spans="1:12" x14ac:dyDescent="0.3">
      <c r="K55" s="37"/>
    </row>
    <row r="56" spans="1:12" x14ac:dyDescent="0.3">
      <c r="K56" s="37" t="s">
        <v>63</v>
      </c>
    </row>
    <row r="57" spans="1:12" x14ac:dyDescent="0.3">
      <c r="K57" s="37" t="s">
        <v>69</v>
      </c>
    </row>
    <row r="58" spans="1:12" x14ac:dyDescent="0.3">
      <c r="K58" s="5" t="s">
        <v>146</v>
      </c>
    </row>
    <row r="59" spans="1:12" x14ac:dyDescent="0.3">
      <c r="K59" s="37" t="s">
        <v>147</v>
      </c>
    </row>
    <row r="60" spans="1:12" x14ac:dyDescent="0.3">
      <c r="K60" s="37" t="s">
        <v>148</v>
      </c>
    </row>
    <row r="61" spans="1:12" x14ac:dyDescent="0.3">
      <c r="K61" s="37" t="s">
        <v>149</v>
      </c>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CRR_LP_Optimization-Initial</vt:lpstr>
      <vt:lpstr>LP_Scenario1</vt:lpstr>
      <vt:lpstr>LP-Scenario2</vt:lpstr>
      <vt:lpstr>LP-Scenario2-QualifiedPipe</vt:lpstr>
      <vt:lpstr>LP-Scenario2-QualPipe-Scenarios</vt:lpstr>
      <vt:lpstr>LP-Scenario3</vt:lpstr>
      <vt:lpstr>LP-Scenario4</vt:lpstr>
      <vt:lpstr>LP-Scenario5</vt:lpstr>
      <vt:lpstr>LP-Scenario6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Anil Jacob</cp:lastModifiedBy>
  <dcterms:created xsi:type="dcterms:W3CDTF">2026-05-14T12:49:20Z</dcterms:created>
  <dcterms:modified xsi:type="dcterms:W3CDTF">2026-06-06T06:22:05Z</dcterms:modified>
</cp:coreProperties>
</file>